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MSK\docs\Отдел ПТО\!Объекты\2021г. ЗМУО рамочный\84п. FW92. МТБЭ. Изменение технологической схемы реакторного блока олигомеризации\4. График\"/>
    </mc:Choice>
  </mc:AlternateContent>
  <xr:revisionPtr revIDLastSave="0" documentId="13_ncr:1_{DEF9D529-B189-4293-9FD3-B4722E7DDD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4" i="1" l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13" i="1"/>
  <c r="K12" i="1"/>
  <c r="K11" i="1"/>
  <c r="K10" i="1"/>
  <c r="K9" i="1"/>
  <c r="K2" i="1"/>
</calcChain>
</file>

<file path=xl/sharedStrings.xml><?xml version="1.0" encoding="utf-8"?>
<sst xmlns="http://schemas.openxmlformats.org/spreadsheetml/2006/main" count="582" uniqueCount="169">
  <si>
    <t>156804.222.12-09-99-FW92</t>
  </si>
  <si>
    <t>5680.230.09.15.000-215</t>
  </si>
  <si>
    <t>11351767</t>
  </si>
  <si>
    <t>482</t>
  </si>
  <si>
    <t>770001356906</t>
  </si>
  <si>
    <t>Теплообменник поз.Т-402/1</t>
  </si>
  <si>
    <t>КТ</t>
  </si>
  <si>
    <t>2022/12/16-1472</t>
  </si>
  <si>
    <t/>
  </si>
  <si>
    <t>W43</t>
  </si>
  <si>
    <t>ШТ</t>
  </si>
  <si>
    <t>5680.230.09.08.000-30</t>
  </si>
  <si>
    <t>11352401</t>
  </si>
  <si>
    <t>W33</t>
  </si>
  <si>
    <t>770001357413</t>
  </si>
  <si>
    <t>Система электрообогрева</t>
  </si>
  <si>
    <t>2023/02/16-1935</t>
  </si>
  <si>
    <t>5680.230.09.08.000-32</t>
  </si>
  <si>
    <t>11353894</t>
  </si>
  <si>
    <t>11354033</t>
  </si>
  <si>
    <t>W12</t>
  </si>
  <si>
    <t>770001356793</t>
  </si>
  <si>
    <t>Задвижка 30нж15нж 50-40 КОФ</t>
  </si>
  <si>
    <t>770001357650</t>
  </si>
  <si>
    <t>Задвижка 30нж15нж 100-40 КОФ</t>
  </si>
  <si>
    <t>770001357651</t>
  </si>
  <si>
    <t>770001357653</t>
  </si>
  <si>
    <t>Задвижка 30нж41нж 100-16 КОФ</t>
  </si>
  <si>
    <t>770001357654</t>
  </si>
  <si>
    <t>770001356812</t>
  </si>
  <si>
    <t>Задвижка 50-16 30с41нж КОФ</t>
  </si>
  <si>
    <t>770001356808</t>
  </si>
  <si>
    <t>Задвижка 50-40 30с15нж КОФ</t>
  </si>
  <si>
    <t>770001356814</t>
  </si>
  <si>
    <t>Задвижка 100-40 30с15нж КОФ</t>
  </si>
  <si>
    <t>770001356823</t>
  </si>
  <si>
    <t>Затвор 19нж53нж 100-40 КОФ</t>
  </si>
  <si>
    <t>770001357659</t>
  </si>
  <si>
    <t>Клапан 15нж57бк 25-16 КОФ</t>
  </si>
  <si>
    <t>770001357662</t>
  </si>
  <si>
    <t>Клапан 15нж57бк 25-40 КОФ</t>
  </si>
  <si>
    <t>770001357664</t>
  </si>
  <si>
    <t>770001357666</t>
  </si>
  <si>
    <t>Клапан 15с57бк 25-40 КОФ</t>
  </si>
  <si>
    <t>770001357667</t>
  </si>
  <si>
    <t>770001357668</t>
  </si>
  <si>
    <t>Клапан 15с57бк 25-25 КОФ</t>
  </si>
  <si>
    <t>770001357669</t>
  </si>
  <si>
    <t>Клапан 15с57бк 25-16 КОФ</t>
  </si>
  <si>
    <t>770001357675</t>
  </si>
  <si>
    <t>Кран 15-16 Мф</t>
  </si>
  <si>
    <t>2022/09/22-1629</t>
  </si>
  <si>
    <t>428</t>
  </si>
  <si>
    <t>770001356864</t>
  </si>
  <si>
    <t>Клапан поз.PV498/1 КОФ</t>
  </si>
  <si>
    <t>2022/12/15-1122</t>
  </si>
  <si>
    <t>770001356858</t>
  </si>
  <si>
    <t>Клапан поз.TV416/1А КОФ</t>
  </si>
  <si>
    <t>770001356861</t>
  </si>
  <si>
    <t>Клапан поз.TV416/1В КОФ</t>
  </si>
  <si>
    <t>770001356859</t>
  </si>
  <si>
    <t>Клапан поз.TV416А КОФ</t>
  </si>
  <si>
    <t>770001356860</t>
  </si>
  <si>
    <t>Клапан поз.TV416В КОФ</t>
  </si>
  <si>
    <t>770001356863</t>
  </si>
  <si>
    <t>Клапан поз.TV669/1 КОФ</t>
  </si>
  <si>
    <t>43K</t>
  </si>
  <si>
    <t>770001356612</t>
  </si>
  <si>
    <t>Датчик поз.TE411/1</t>
  </si>
  <si>
    <t>2022/12/14-1247</t>
  </si>
  <si>
    <t>770001356610</t>
  </si>
  <si>
    <t>Датчик поз.TE416/1</t>
  </si>
  <si>
    <t>770001356622</t>
  </si>
  <si>
    <t>Датчик давления</t>
  </si>
  <si>
    <t>2022/12/14-1249</t>
  </si>
  <si>
    <t>770001356620</t>
  </si>
  <si>
    <t>11354064</t>
  </si>
  <si>
    <t>W32</t>
  </si>
  <si>
    <t>770000157538</t>
  </si>
  <si>
    <t>Труба 108х4-12Х18Н10Т</t>
  </si>
  <si>
    <t>М</t>
  </si>
  <si>
    <t>770000149960</t>
  </si>
  <si>
    <t>Труба 108х5 В-20</t>
  </si>
  <si>
    <t>770001136092</t>
  </si>
  <si>
    <t>Труба 32х3 В-20</t>
  </si>
  <si>
    <t>000001177603</t>
  </si>
  <si>
    <t>Труба 32х3-12Х18Н10Т</t>
  </si>
  <si>
    <t>5680.230.09.08.000-33</t>
  </si>
  <si>
    <t>770000081905</t>
  </si>
  <si>
    <t>Труба 108х6 В-20</t>
  </si>
  <si>
    <t>11354592</t>
  </si>
  <si>
    <t>770001359199</t>
  </si>
  <si>
    <t>Заглушка ЗЭ 108х4-12Х18Н10Т</t>
  </si>
  <si>
    <t>770001359260</t>
  </si>
  <si>
    <t>Заглушка З.П.(I) 50-16 ст.20К S=12 мм</t>
  </si>
  <si>
    <t>770001359240</t>
  </si>
  <si>
    <t>Заглушка З.П.(II) 100-16 ст.12Х18Н10Т</t>
  </si>
  <si>
    <t>770001359254</t>
  </si>
  <si>
    <t>Заглушка З.П.(II) 100-40 ст.12Х18Н10Т</t>
  </si>
  <si>
    <t>770000460639</t>
  </si>
  <si>
    <t>Заглушка 2-25-4,0-12Х18Н9Т</t>
  </si>
  <si>
    <t>000001126651</t>
  </si>
  <si>
    <t>Заглушка 2-25-4,0-20</t>
  </si>
  <si>
    <t>770001359044</t>
  </si>
  <si>
    <t>Заглушка 2-50-4-12Х18Н9Т</t>
  </si>
  <si>
    <t>770001359060</t>
  </si>
  <si>
    <t>Заглушка 2-50-4-20</t>
  </si>
  <si>
    <t>770001358872</t>
  </si>
  <si>
    <t>Отвод 90-108x5-12Х18Н10Т</t>
  </si>
  <si>
    <t>770001358834</t>
  </si>
  <si>
    <t>Отвод 90-32х4-12Х18Н10Т</t>
  </si>
  <si>
    <t>770001358848</t>
  </si>
  <si>
    <t>Отвод 90-57х5-12Х18Н10Т</t>
  </si>
  <si>
    <t>000001166607</t>
  </si>
  <si>
    <t>Отвод П 90-108х6</t>
  </si>
  <si>
    <t>000001166611</t>
  </si>
  <si>
    <t>Отвод П 90-108х7</t>
  </si>
  <si>
    <t>000001128445</t>
  </si>
  <si>
    <t>Отвод П 90-32х4</t>
  </si>
  <si>
    <t>000001168825</t>
  </si>
  <si>
    <t>Переход П К-57х5-32х3</t>
  </si>
  <si>
    <t>770000012977</t>
  </si>
  <si>
    <t>Переход П Э-108х8-57х5</t>
  </si>
  <si>
    <t>770001358893</t>
  </si>
  <si>
    <t>Переход ПК 159х6-108х6-12Х18Н10Т</t>
  </si>
  <si>
    <t>770001358959</t>
  </si>
  <si>
    <t>Переход ПЭ 108х6-57х4-12Х18Н10Т</t>
  </si>
  <si>
    <t>770001359029</t>
  </si>
  <si>
    <t>Тройник ТБ 108х6-12Х18Н10Т</t>
  </si>
  <si>
    <t>000001128690</t>
  </si>
  <si>
    <t>Тройник П 108х8</t>
  </si>
  <si>
    <t>770000811488</t>
  </si>
  <si>
    <t>Фланец 25-25-11-1-F-Ст 20-IV</t>
  </si>
  <si>
    <t>770000461002</t>
  </si>
  <si>
    <t>Фланец 50-40-11-1-F-Ст 12Х18Н9Т-IV</t>
  </si>
  <si>
    <t>770000514954</t>
  </si>
  <si>
    <t>Фланец 50-40-11-1-F-Ст 20-IV</t>
  </si>
  <si>
    <t>5680.230.09.08.000-42</t>
  </si>
  <si>
    <t>11359199</t>
  </si>
  <si>
    <t>770001365409</t>
  </si>
  <si>
    <t>Кабель Инсил-ОЭмвзнг(А)-LS 1х2х1,5-660</t>
  </si>
  <si>
    <t>КМ</t>
  </si>
  <si>
    <t>2023/02/17-1308</t>
  </si>
  <si>
    <t>770001365436</t>
  </si>
  <si>
    <t>Кабель Инсил-ОЭмвзнг(А)-LS 4х2х1,5-660</t>
  </si>
  <si>
    <t>770001356706</t>
  </si>
  <si>
    <t>Провод МГ 4 49х0,32 мм2</t>
  </si>
  <si>
    <t>5680.230.09.08.000-92</t>
  </si>
  <si>
    <t>000001166716</t>
  </si>
  <si>
    <t>Отвод П 90-57х5</t>
  </si>
  <si>
    <t>000001168151</t>
  </si>
  <si>
    <t>Переход П К-159х8-108х6</t>
  </si>
  <si>
    <t>770001360271</t>
  </si>
  <si>
    <t>Переход ПКТ-2-32х3-25х3-1,6-20-2</t>
  </si>
  <si>
    <t>СПП элемент</t>
  </si>
  <si>
    <t>Номер плана</t>
  </si>
  <si>
    <t>Заявка подр.</t>
  </si>
  <si>
    <t>Гр.зак.</t>
  </si>
  <si>
    <t>Материал</t>
  </si>
  <si>
    <t>Материал Имя</t>
  </si>
  <si>
    <t>Кол-во к закупу, БЕИ</t>
  </si>
  <si>
    <t>Базисная ЕИ</t>
  </si>
  <si>
    <t>Номер лота</t>
  </si>
  <si>
    <t>Предварительыне сроки поставки</t>
  </si>
  <si>
    <t>Комментарий</t>
  </si>
  <si>
    <t>Название проекта</t>
  </si>
  <si>
    <t>Критика</t>
  </si>
  <si>
    <t>К</t>
  </si>
  <si>
    <t>Монтаж дополнительного теплообменника на установке МТБЭ и оптимизация режима работы реакторов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</si>
</sst>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14" fontId="2" fillId="0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menov.VVYA\AppData\Local\Microsoft\Windows\INetCache\Content.Outlook\DNMI0YJC\&#1050;&#1086;&#1087;&#1080;&#1103;%20FW92_FZ77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FW92"/>
    </sheetNames>
    <sheetDataSet>
      <sheetData sheetId="0"/>
      <sheetData sheetId="1">
        <row r="2">
          <cell r="L2" t="str">
            <v>770001356906</v>
          </cell>
          <cell r="M2">
            <v>770001356906</v>
          </cell>
          <cell r="O2" t="str">
            <v>Теплообменник Т-402/1</v>
          </cell>
          <cell r="P2">
            <v>1</v>
          </cell>
          <cell r="R2" t="str">
            <v>КТ</v>
          </cell>
          <cell r="U2">
            <v>45078</v>
          </cell>
          <cell r="V2">
            <v>45229</v>
          </cell>
        </row>
        <row r="3">
          <cell r="L3" t="str">
            <v>770001357413</v>
          </cell>
          <cell r="M3">
            <v>770001357413</v>
          </cell>
          <cell r="O3" t="str">
            <v>Система электрообогрева</v>
          </cell>
          <cell r="P3">
            <v>1</v>
          </cell>
          <cell r="R3" t="str">
            <v>КТ</v>
          </cell>
          <cell r="U3">
            <v>45078</v>
          </cell>
          <cell r="V3">
            <v>45170</v>
          </cell>
        </row>
        <row r="4">
          <cell r="L4" t="str">
            <v>770001356612</v>
          </cell>
          <cell r="M4">
            <v>770001356612</v>
          </cell>
          <cell r="O4" t="str">
            <v>Датчик поз.TE411/1</v>
          </cell>
          <cell r="P4">
            <v>1</v>
          </cell>
          <cell r="R4" t="str">
            <v>ШТ</v>
          </cell>
          <cell r="U4">
            <v>45078</v>
          </cell>
          <cell r="V4">
            <v>45168</v>
          </cell>
        </row>
        <row r="5">
          <cell r="L5" t="str">
            <v>770001356610</v>
          </cell>
          <cell r="M5" t="str">
            <v>770001356610</v>
          </cell>
          <cell r="O5" t="str">
            <v>Датчик поз.TE416/1</v>
          </cell>
          <cell r="P5">
            <v>1</v>
          </cell>
          <cell r="R5" t="str">
            <v>ШТ</v>
          </cell>
          <cell r="U5">
            <v>45078</v>
          </cell>
          <cell r="V5">
            <v>45168</v>
          </cell>
        </row>
        <row r="6">
          <cell r="L6" t="str">
            <v>770001356620</v>
          </cell>
          <cell r="M6" t="str">
            <v>770001356620</v>
          </cell>
          <cell r="O6" t="str">
            <v>Датчик давления позиции РT498/1, PT480/1, PT482/1, PT676A, PT483/1, PT485/1, резерв</v>
          </cell>
          <cell r="P6">
            <v>7</v>
          </cell>
          <cell r="R6" t="str">
            <v>ШТ</v>
          </cell>
          <cell r="U6">
            <v>45078</v>
          </cell>
          <cell r="V6">
            <v>45199</v>
          </cell>
        </row>
        <row r="7">
          <cell r="L7" t="str">
            <v>770001356622</v>
          </cell>
          <cell r="M7" t="str">
            <v>770001356622</v>
          </cell>
          <cell r="O7" t="str">
            <v>Датчик давления позиции РT480/2, PT482, PT676B, PT483/2, PT485, резерв</v>
          </cell>
          <cell r="P7">
            <v>6</v>
          </cell>
          <cell r="R7" t="str">
            <v>ШТ</v>
          </cell>
          <cell r="U7">
            <v>45078</v>
          </cell>
          <cell r="V7">
            <v>45199</v>
          </cell>
        </row>
        <row r="8">
          <cell r="L8" t="str">
            <v>770001365327</v>
          </cell>
          <cell r="M8" t="str">
            <v>770001365327</v>
          </cell>
          <cell r="O8" t="str">
            <v>Шкаф приборный Ш-482/1, Ш-485/1, Ш-498/1</v>
          </cell>
          <cell r="P8">
            <v>3</v>
          </cell>
          <cell r="R8" t="str">
            <v>шт</v>
          </cell>
          <cell r="U8">
            <v>45078</v>
          </cell>
          <cell r="V8">
            <v>45107</v>
          </cell>
        </row>
        <row r="9">
          <cell r="L9" t="str">
            <v>770001365409</v>
          </cell>
          <cell r="M9" t="str">
            <v>770001365409</v>
          </cell>
          <cell r="O9" t="str">
            <v>Кабель ИнСил-ОЭмвзнг(А)-LS 1х2х1,5-660 синий</v>
          </cell>
          <cell r="P9">
            <v>0.17100000000000001</v>
          </cell>
          <cell r="R9" t="str">
            <v>КМ</v>
          </cell>
          <cell r="U9">
            <v>45078</v>
          </cell>
          <cell r="V9">
            <v>45076</v>
          </cell>
        </row>
        <row r="10">
          <cell r="L10" t="str">
            <v>770001365436</v>
          </cell>
          <cell r="M10" t="str">
            <v>770001365436</v>
          </cell>
          <cell r="O10" t="str">
            <v>Кабель ИнСил-ОЭмвзнг(А)-LS 4х2х1,5-660 синий</v>
          </cell>
          <cell r="P10">
            <v>0.82</v>
          </cell>
          <cell r="R10" t="str">
            <v>КМ</v>
          </cell>
          <cell r="U10">
            <v>45078</v>
          </cell>
          <cell r="V10">
            <v>45076</v>
          </cell>
        </row>
        <row r="11">
          <cell r="L11" t="str">
            <v>770001356706</v>
          </cell>
          <cell r="M11" t="str">
            <v>770001356706</v>
          </cell>
          <cell r="O11" t="str">
            <v>Провод МГ 4 49х0,32 мм2</v>
          </cell>
          <cell r="P11">
            <v>8.2000000000000003E-2</v>
          </cell>
          <cell r="R11" t="str">
            <v>КМ</v>
          </cell>
          <cell r="U11">
            <v>45078</v>
          </cell>
          <cell r="V11">
            <v>45076</v>
          </cell>
        </row>
        <row r="12">
          <cell r="L12" t="str">
            <v>770001356732</v>
          </cell>
          <cell r="M12" t="str">
            <v>770001356732</v>
          </cell>
          <cell r="O12" t="str">
            <v>Коробка зажимов 1ExiaIICT6T4 Gb, IP68,  Tокр.=-46/+37 град.С, УХЛ1</v>
          </cell>
          <cell r="P12">
            <v>4</v>
          </cell>
          <cell r="R12" t="str">
            <v>ШТ</v>
          </cell>
          <cell r="U12">
            <v>45078</v>
          </cell>
          <cell r="V12">
            <v>45076</v>
          </cell>
        </row>
        <row r="13">
          <cell r="L13" t="str">
            <v>770001367623</v>
          </cell>
          <cell r="M13">
            <v>770001367623</v>
          </cell>
          <cell r="O13" t="str">
            <v>Труба стальная коррозионностойкая 10х1,0 (SDTAT-10-1,0 Tungum)</v>
          </cell>
          <cell r="P13">
            <v>30</v>
          </cell>
          <cell r="R13" t="str">
            <v>М</v>
          </cell>
          <cell r="U13">
            <v>45078</v>
          </cell>
          <cell r="V13">
            <v>45076</v>
          </cell>
        </row>
        <row r="14">
          <cell r="L14" t="str">
            <v>770001381021</v>
          </cell>
          <cell r="M14">
            <v>770001381021</v>
          </cell>
          <cell r="O14" t="str">
            <v>Соединитель для трубы (Штуцер) коррозионностойкой (DMC10M-8G-SA)</v>
          </cell>
          <cell r="P14">
            <v>6</v>
          </cell>
          <cell r="R14" t="str">
            <v>ШТ</v>
          </cell>
          <cell r="U14">
            <v>45078</v>
          </cell>
          <cell r="V14">
            <v>45076</v>
          </cell>
        </row>
        <row r="15">
          <cell r="L15" t="str">
            <v>770001356748</v>
          </cell>
          <cell r="M15" t="str">
            <v>770001356748</v>
          </cell>
          <cell r="O15" t="str">
            <v>Гильза защитная цельноточеная 12ХН10Т, d=23 мм, DN 50</v>
          </cell>
          <cell r="P15">
            <v>1</v>
          </cell>
          <cell r="R15" t="str">
            <v>ШТ</v>
          </cell>
          <cell r="U15">
            <v>45078</v>
          </cell>
          <cell r="V15">
            <v>45076</v>
          </cell>
        </row>
        <row r="16">
          <cell r="L16" t="str">
            <v>770001356741</v>
          </cell>
          <cell r="M16" t="str">
            <v>770001356741</v>
          </cell>
          <cell r="O16" t="str">
            <v>Шланг металлический DN 25 Опросный лист МНЗ-22/07200/00137/Р-ТК.ОЛ</v>
          </cell>
          <cell r="P16">
            <v>1</v>
          </cell>
          <cell r="R16" t="str">
            <v>КТ</v>
          </cell>
          <cell r="U16">
            <v>45078</v>
          </cell>
          <cell r="V16">
            <v>45076</v>
          </cell>
        </row>
        <row r="17">
          <cell r="L17" t="str">
            <v>770001356793</v>
          </cell>
          <cell r="M17" t="str">
            <v>770001356793</v>
          </cell>
          <cell r="O17" t="str">
            <v>Задвижка 30нж15нж 50-40 КОФ</v>
          </cell>
          <cell r="P17">
            <v>1</v>
          </cell>
          <cell r="R17" t="str">
            <v>КТ</v>
          </cell>
          <cell r="U17">
            <v>45078</v>
          </cell>
          <cell r="V17">
            <v>45108</v>
          </cell>
        </row>
        <row r="18">
          <cell r="L18" t="str">
            <v>770001357650</v>
          </cell>
          <cell r="M18" t="str">
            <v>770001357650</v>
          </cell>
          <cell r="O18" t="str">
            <v>Задвижка 30нж15нж 100-40 КОФ</v>
          </cell>
          <cell r="P18">
            <v>64</v>
          </cell>
          <cell r="R18" t="str">
            <v>КТ</v>
          </cell>
          <cell r="U18">
            <v>45078</v>
          </cell>
          <cell r="V18">
            <v>45108</v>
          </cell>
        </row>
        <row r="19">
          <cell r="L19" t="str">
            <v>770001357651</v>
          </cell>
          <cell r="M19" t="str">
            <v>770001357651</v>
          </cell>
          <cell r="O19" t="str">
            <v>Задвижка 30нж15нж 100-40 КОФ</v>
          </cell>
          <cell r="P19">
            <v>15</v>
          </cell>
          <cell r="R19" t="str">
            <v>КТ</v>
          </cell>
          <cell r="U19">
            <v>45078</v>
          </cell>
          <cell r="V19">
            <v>45108</v>
          </cell>
        </row>
        <row r="20">
          <cell r="L20" t="str">
            <v>770001357653</v>
          </cell>
          <cell r="M20" t="str">
            <v>770001357653</v>
          </cell>
          <cell r="O20" t="str">
            <v>Задвижка 30нж15нж 100-16 КОФ</v>
          </cell>
          <cell r="P20">
            <v>5</v>
          </cell>
          <cell r="R20" t="str">
            <v>КТ</v>
          </cell>
          <cell r="U20">
            <v>45078</v>
          </cell>
          <cell r="V20">
            <v>45108</v>
          </cell>
        </row>
        <row r="21">
          <cell r="L21" t="str">
            <v>770001357654</v>
          </cell>
          <cell r="M21" t="str">
            <v>770001357654</v>
          </cell>
          <cell r="O21" t="str">
            <v>Задвижка 30нж15нж 100-16 КОФ</v>
          </cell>
          <cell r="P21">
            <v>5</v>
          </cell>
          <cell r="R21" t="str">
            <v>КТ</v>
          </cell>
          <cell r="U21">
            <v>45078</v>
          </cell>
          <cell r="V21">
            <v>45108</v>
          </cell>
        </row>
        <row r="22">
          <cell r="L22" t="str">
            <v>770001356812</v>
          </cell>
          <cell r="M22" t="str">
            <v>770001356812</v>
          </cell>
          <cell r="O22" t="str">
            <v>Задвижка 50-16 30с41нж КОФ</v>
          </cell>
          <cell r="P22">
            <v>2</v>
          </cell>
          <cell r="R22" t="str">
            <v>КТ</v>
          </cell>
          <cell r="U22">
            <v>45078</v>
          </cell>
          <cell r="V22">
            <v>45108</v>
          </cell>
        </row>
        <row r="23">
          <cell r="L23" t="str">
            <v>770001356808</v>
          </cell>
          <cell r="M23" t="str">
            <v>770001356808</v>
          </cell>
          <cell r="O23" t="str">
            <v>Задвижка 50-40 30с15нж КОФ</v>
          </cell>
          <cell r="P23">
            <v>1</v>
          </cell>
          <cell r="R23" t="str">
            <v>КТ</v>
          </cell>
          <cell r="U23">
            <v>45078</v>
          </cell>
          <cell r="V23">
            <v>45108</v>
          </cell>
        </row>
        <row r="24">
          <cell r="L24" t="str">
            <v>770001356814</v>
          </cell>
          <cell r="M24" t="str">
            <v>770001356814</v>
          </cell>
          <cell r="O24" t="str">
            <v>Задвижка 100-40 30с15нж КОФ</v>
          </cell>
          <cell r="P24">
            <v>6</v>
          </cell>
          <cell r="R24" t="str">
            <v>КТ</v>
          </cell>
          <cell r="U24">
            <v>45078</v>
          </cell>
          <cell r="V24">
            <v>45108</v>
          </cell>
        </row>
        <row r="25">
          <cell r="L25" t="str">
            <v>770001356823</v>
          </cell>
          <cell r="M25" t="str">
            <v>770001356823</v>
          </cell>
          <cell r="O25" t="str">
            <v>Затвор 19нж53нж 100-40 КОФ</v>
          </cell>
          <cell r="P25">
            <v>1</v>
          </cell>
          <cell r="R25" t="str">
            <v>КТ</v>
          </cell>
          <cell r="U25">
            <v>45078</v>
          </cell>
          <cell r="V25">
            <v>45108</v>
          </cell>
        </row>
        <row r="26">
          <cell r="L26" t="str">
            <v>770001357659</v>
          </cell>
          <cell r="M26" t="str">
            <v>770001357659</v>
          </cell>
          <cell r="O26" t="str">
            <v>Клапан 15нж57бк 25-16 КОФ</v>
          </cell>
          <cell r="P26">
            <v>10</v>
          </cell>
          <cell r="R26" t="str">
            <v>КТ</v>
          </cell>
          <cell r="U26">
            <v>45078</v>
          </cell>
          <cell r="V26">
            <v>45108</v>
          </cell>
        </row>
        <row r="27">
          <cell r="L27" t="str">
            <v>770001357662</v>
          </cell>
          <cell r="M27" t="str">
            <v>770001357662</v>
          </cell>
          <cell r="O27" t="str">
            <v>Клапан 15нж57бк 25-40 КОФ</v>
          </cell>
          <cell r="P27">
            <v>6</v>
          </cell>
          <cell r="R27" t="str">
            <v>КТ</v>
          </cell>
          <cell r="U27">
            <v>45078</v>
          </cell>
          <cell r="V27">
            <v>45108</v>
          </cell>
        </row>
        <row r="28">
          <cell r="L28" t="str">
            <v>770001357664</v>
          </cell>
          <cell r="M28" t="str">
            <v>770001357664</v>
          </cell>
          <cell r="O28" t="str">
            <v>Клапан 15нж57бк 25-40 КОФ</v>
          </cell>
          <cell r="P28">
            <v>23</v>
          </cell>
          <cell r="R28" t="str">
            <v>КТ</v>
          </cell>
          <cell r="U28">
            <v>45078</v>
          </cell>
          <cell r="V28">
            <v>45108</v>
          </cell>
        </row>
        <row r="29">
          <cell r="L29" t="str">
            <v>770001357666</v>
          </cell>
          <cell r="M29" t="str">
            <v>770001357666</v>
          </cell>
          <cell r="O29" t="str">
            <v>Клапан 15с57бк 25-40 КОФ</v>
          </cell>
          <cell r="P29">
            <v>1</v>
          </cell>
          <cell r="R29" t="str">
            <v>КТ</v>
          </cell>
          <cell r="U29">
            <v>45078</v>
          </cell>
          <cell r="V29">
            <v>45108</v>
          </cell>
        </row>
        <row r="30">
          <cell r="L30" t="str">
            <v>770001357667</v>
          </cell>
          <cell r="M30" t="str">
            <v>770001357667</v>
          </cell>
          <cell r="O30" t="str">
            <v>Клапан 15с57бк 25-40 КОФ</v>
          </cell>
          <cell r="P30">
            <v>1</v>
          </cell>
          <cell r="R30" t="str">
            <v>КТ</v>
          </cell>
          <cell r="U30">
            <v>45078</v>
          </cell>
          <cell r="V30">
            <v>45108</v>
          </cell>
        </row>
        <row r="31">
          <cell r="L31" t="str">
            <v>770001357668</v>
          </cell>
          <cell r="M31" t="str">
            <v>770001357668</v>
          </cell>
          <cell r="O31" t="str">
            <v>Клапан 15с57бк 25-25 КОФ</v>
          </cell>
          <cell r="P31">
            <v>1</v>
          </cell>
          <cell r="R31" t="str">
            <v>КТ</v>
          </cell>
          <cell r="U31">
            <v>45078</v>
          </cell>
          <cell r="V31">
            <v>45108</v>
          </cell>
        </row>
        <row r="32">
          <cell r="L32" t="str">
            <v>770001357669</v>
          </cell>
          <cell r="M32" t="str">
            <v>770001357669</v>
          </cell>
          <cell r="O32" t="str">
            <v>Клапан 15с57бк 25-16 КОФ</v>
          </cell>
          <cell r="P32">
            <v>2</v>
          </cell>
          <cell r="R32" t="str">
            <v>КТ</v>
          </cell>
          <cell r="U32">
            <v>45078</v>
          </cell>
          <cell r="V32">
            <v>45108</v>
          </cell>
        </row>
        <row r="33">
          <cell r="L33" t="str">
            <v>770001357675</v>
          </cell>
          <cell r="M33" t="str">
            <v>770001357675</v>
          </cell>
          <cell r="O33" t="str">
            <v>Кран 15-16 Мф</v>
          </cell>
          <cell r="P33">
            <v>6</v>
          </cell>
          <cell r="R33" t="str">
            <v>КТ</v>
          </cell>
          <cell r="U33">
            <v>45078</v>
          </cell>
          <cell r="V33">
            <v>45108</v>
          </cell>
        </row>
        <row r="34">
          <cell r="L34" t="str">
            <v>770001356858</v>
          </cell>
          <cell r="M34" t="str">
            <v>770001356858</v>
          </cell>
          <cell r="O34" t="str">
            <v>Клапан поз.ТV416/1А КОФ</v>
          </cell>
          <cell r="P34">
            <v>1</v>
          </cell>
          <cell r="R34" t="str">
            <v>КТ</v>
          </cell>
          <cell r="U34">
            <v>45078</v>
          </cell>
          <cell r="V34">
            <v>45260</v>
          </cell>
        </row>
        <row r="35">
          <cell r="L35" t="str">
            <v>770001356859</v>
          </cell>
          <cell r="M35" t="str">
            <v>770001356859</v>
          </cell>
          <cell r="O35" t="str">
            <v>Клапан поз.ТV416А КОФ</v>
          </cell>
          <cell r="P35">
            <v>1</v>
          </cell>
          <cell r="R35" t="str">
            <v>КТ</v>
          </cell>
          <cell r="U35">
            <v>45078</v>
          </cell>
          <cell r="V35">
            <v>45260</v>
          </cell>
        </row>
        <row r="36">
          <cell r="L36" t="str">
            <v>770001356860</v>
          </cell>
          <cell r="M36" t="str">
            <v>770001356860</v>
          </cell>
          <cell r="O36" t="str">
            <v>Клапан поз.ТV416В КОФ</v>
          </cell>
          <cell r="P36">
            <v>1</v>
          </cell>
          <cell r="R36" t="str">
            <v>КТ</v>
          </cell>
          <cell r="U36">
            <v>45078</v>
          </cell>
          <cell r="V36">
            <v>45260</v>
          </cell>
        </row>
        <row r="37">
          <cell r="L37" t="str">
            <v>770001356861</v>
          </cell>
          <cell r="M37" t="str">
            <v>770001356861</v>
          </cell>
          <cell r="O37" t="str">
            <v>Клапан поз.ТV416/1В КОФ</v>
          </cell>
          <cell r="P37">
            <v>1</v>
          </cell>
          <cell r="R37" t="str">
            <v>КТ</v>
          </cell>
          <cell r="U37">
            <v>45078</v>
          </cell>
          <cell r="V37">
            <v>45260</v>
          </cell>
        </row>
        <row r="38">
          <cell r="L38" t="str">
            <v>770001356863</v>
          </cell>
          <cell r="M38" t="str">
            <v>770001356863</v>
          </cell>
          <cell r="O38" t="str">
            <v>Клапан поз.ТV669/1 КОФ</v>
          </cell>
          <cell r="P38">
            <v>1</v>
          </cell>
          <cell r="R38" t="str">
            <v>КТ</v>
          </cell>
          <cell r="U38">
            <v>45078</v>
          </cell>
          <cell r="V38">
            <v>45260</v>
          </cell>
        </row>
        <row r="39">
          <cell r="L39" t="str">
            <v>770001356864</v>
          </cell>
          <cell r="M39" t="str">
            <v>770001356864</v>
          </cell>
          <cell r="O39" t="str">
            <v>Клапан поз.РV498/1 КОФ</v>
          </cell>
          <cell r="P39">
            <v>1</v>
          </cell>
          <cell r="R39" t="str">
            <v>КТ</v>
          </cell>
          <cell r="U39">
            <v>45078</v>
          </cell>
          <cell r="V39">
            <v>45260</v>
          </cell>
        </row>
        <row r="40">
          <cell r="L40" t="str">
            <v>770000157538</v>
          </cell>
          <cell r="M40" t="str">
            <v>770000157538</v>
          </cell>
          <cell r="O40" t="str">
            <v>Труба 108х4-12Х18Н10Т бесшовная горячедеформированная (ГОСТ 5632-2014/ГОСТ 9940-81)</v>
          </cell>
          <cell r="P40">
            <v>312.10000000000002</v>
          </cell>
          <cell r="R40" t="str">
            <v>М</v>
          </cell>
          <cell r="U40">
            <v>45078</v>
          </cell>
          <cell r="V40">
            <v>45076</v>
          </cell>
        </row>
        <row r="41">
          <cell r="L41" t="str">
            <v>770000149960</v>
          </cell>
          <cell r="M41" t="str">
            <v>770000149960</v>
          </cell>
          <cell r="O41" t="str">
            <v>Труба бесшовная 108х5 ГОСТ 8732-78 В-20 ГОСТ 8731-74</v>
          </cell>
          <cell r="P41">
            <v>19</v>
          </cell>
          <cell r="R41" t="str">
            <v>М</v>
          </cell>
          <cell r="U41">
            <v>45078</v>
          </cell>
          <cell r="V41">
            <v>45076</v>
          </cell>
        </row>
        <row r="42">
          <cell r="L42" t="str">
            <v>770000081905</v>
          </cell>
          <cell r="M42" t="str">
            <v>770000081905</v>
          </cell>
          <cell r="O42" t="str">
            <v>Труба бесшовная 108х6 ГОСТ 8732-78 В-20 ГОСТ 8731-74</v>
          </cell>
          <cell r="P42">
            <v>9</v>
          </cell>
          <cell r="R42" t="str">
            <v>М</v>
          </cell>
          <cell r="U42">
            <v>45078</v>
          </cell>
          <cell r="V42">
            <v>45076</v>
          </cell>
        </row>
        <row r="43">
          <cell r="L43" t="str">
            <v>000001177603</v>
          </cell>
          <cell r="M43" t="str">
            <v>000001177603</v>
          </cell>
          <cell r="O43" t="str">
            <v>Труба бесшовная 32х3-12Х18Н10Т ГОСТ 9941-81</v>
          </cell>
          <cell r="P43">
            <v>16.3</v>
          </cell>
          <cell r="R43" t="str">
            <v>М</v>
          </cell>
          <cell r="U43">
            <v>45078</v>
          </cell>
          <cell r="V43">
            <v>45076</v>
          </cell>
        </row>
        <row r="44">
          <cell r="L44" t="str">
            <v>770001136092</v>
          </cell>
          <cell r="M44" t="str">
            <v>770001136092</v>
          </cell>
          <cell r="O44" t="str">
            <v>Труба бесшовная 32х3 ГОСТ 8734-75 В-20 ГОСТ 8733-74</v>
          </cell>
          <cell r="P44">
            <v>31</v>
          </cell>
          <cell r="R44" t="str">
            <v>М</v>
          </cell>
          <cell r="U44">
            <v>45078</v>
          </cell>
          <cell r="V44">
            <v>45076</v>
          </cell>
        </row>
        <row r="45">
          <cell r="L45" t="str">
            <v>770001358834</v>
          </cell>
          <cell r="M45" t="str">
            <v>770001358834</v>
          </cell>
          <cell r="O45" t="str">
            <v>Отвод крутоизогнутый 90-32х4-12Х18Н10Т ТУ 1400-001-62226329-2012</v>
          </cell>
          <cell r="P45">
            <v>29</v>
          </cell>
          <cell r="R45" t="str">
            <v>ШТ</v>
          </cell>
          <cell r="U45">
            <v>45078</v>
          </cell>
          <cell r="V45">
            <v>45076</v>
          </cell>
        </row>
        <row r="46">
          <cell r="L46" t="str">
            <v>770001358848</v>
          </cell>
          <cell r="M46" t="str">
            <v>770001358848</v>
          </cell>
          <cell r="O46" t="str">
            <v>Отвод крутоизогнутый 90-57х5-12Х18Н10Т ТУ 1400-001-62226329-2012</v>
          </cell>
          <cell r="P46">
            <v>1</v>
          </cell>
          <cell r="R46" t="str">
            <v>ШТ</v>
          </cell>
          <cell r="U46">
            <v>45078</v>
          </cell>
          <cell r="V46">
            <v>45076</v>
          </cell>
        </row>
        <row r="47">
          <cell r="L47" t="str">
            <v>770001358872</v>
          </cell>
          <cell r="M47" t="str">
            <v>770001358872</v>
          </cell>
          <cell r="O47" t="str">
            <v>Отвод крутоизогнутый 90-108x5-12Х18Н10Т ТУ 1400-001-62226329-2012</v>
          </cell>
          <cell r="P47">
            <v>185</v>
          </cell>
          <cell r="R47" t="str">
            <v>ШТ</v>
          </cell>
          <cell r="U47">
            <v>45078</v>
          </cell>
          <cell r="V47">
            <v>45076</v>
          </cell>
        </row>
        <row r="48">
          <cell r="L48" t="str">
            <v>000001128445</v>
          </cell>
          <cell r="M48" t="str">
            <v>000001128445</v>
          </cell>
          <cell r="O48" t="str">
            <v>Отвод П 90-32х4 ГОСТ 17375-2001</v>
          </cell>
          <cell r="P48">
            <v>9</v>
          </cell>
          <cell r="R48" t="str">
            <v>ШТ</v>
          </cell>
          <cell r="U48">
            <v>45078</v>
          </cell>
          <cell r="V48">
            <v>45076</v>
          </cell>
        </row>
        <row r="49">
          <cell r="L49" t="str">
            <v>000001166716</v>
          </cell>
          <cell r="M49" t="str">
            <v>000001166716</v>
          </cell>
          <cell r="O49" t="str">
            <v>Отвод П 90-57х5 ГОСТ 17375-2001</v>
          </cell>
          <cell r="P49">
            <v>3</v>
          </cell>
          <cell r="Q49">
            <v>10</v>
          </cell>
          <cell r="R49" t="str">
            <v>ШТ</v>
          </cell>
          <cell r="U49">
            <v>45078</v>
          </cell>
          <cell r="V49">
            <v>45076</v>
          </cell>
        </row>
        <row r="50">
          <cell r="L50" t="str">
            <v>000001166607</v>
          </cell>
          <cell r="M50" t="str">
            <v>000001166607</v>
          </cell>
          <cell r="O50" t="str">
            <v>Отвод П 90-108х6 ГОСТ 17375-2001</v>
          </cell>
          <cell r="P50">
            <v>11</v>
          </cell>
          <cell r="R50" t="str">
            <v>ШТ</v>
          </cell>
          <cell r="U50">
            <v>45078</v>
          </cell>
          <cell r="V50">
            <v>45076</v>
          </cell>
        </row>
        <row r="51">
          <cell r="L51" t="str">
            <v>000001166611</v>
          </cell>
          <cell r="M51" t="str">
            <v>000001166611</v>
          </cell>
          <cell r="O51" t="str">
            <v>Отвод П 90-108х7 ГОСТ 17375-2001</v>
          </cell>
          <cell r="P51">
            <v>8</v>
          </cell>
          <cell r="R51" t="str">
            <v>ШТ</v>
          </cell>
          <cell r="U51">
            <v>45078</v>
          </cell>
          <cell r="V51">
            <v>45076</v>
          </cell>
        </row>
        <row r="52">
          <cell r="L52" t="str">
            <v>770001358893</v>
          </cell>
          <cell r="M52" t="str">
            <v>770001358893</v>
          </cell>
          <cell r="O52" t="str">
            <v>Переход ПК 159х6-108х6-12Х18Н10Т ТУ 1400-001-62226329-2012</v>
          </cell>
          <cell r="P52">
            <v>2</v>
          </cell>
          <cell r="R52" t="str">
            <v>ШТ</v>
          </cell>
          <cell r="U52">
            <v>45078</v>
          </cell>
          <cell r="V52">
            <v>45076</v>
          </cell>
        </row>
        <row r="53">
          <cell r="L53" t="str">
            <v>000001168825</v>
          </cell>
          <cell r="M53" t="str">
            <v>000001168825</v>
          </cell>
          <cell r="O53" t="str">
            <v>Переход П К-57х4-32х3 ГОСТ 17378-2001</v>
          </cell>
          <cell r="P53">
            <v>1</v>
          </cell>
          <cell r="R53" t="str">
            <v>ШТ</v>
          </cell>
          <cell r="U53">
            <v>45078</v>
          </cell>
          <cell r="V53">
            <v>45076</v>
          </cell>
        </row>
        <row r="54">
          <cell r="L54" t="str">
            <v>000001168151</v>
          </cell>
          <cell r="M54" t="str">
            <v>000001168151</v>
          </cell>
          <cell r="O54" t="str">
            <v>Переход П К-159х8-108х6 ГОСТ 17378- 2001</v>
          </cell>
          <cell r="P54">
            <v>1</v>
          </cell>
          <cell r="Q54">
            <v>1</v>
          </cell>
          <cell r="R54" t="str">
            <v>ШТ</v>
          </cell>
          <cell r="U54">
            <v>45078</v>
          </cell>
          <cell r="V54">
            <v>45076</v>
          </cell>
        </row>
        <row r="55">
          <cell r="L55" t="str">
            <v>770001360271</v>
          </cell>
          <cell r="M55" t="str">
            <v>770001360271</v>
          </cell>
          <cell r="O55" t="str">
            <v>Переход концентрический ПКТ-2-32х3-25х3-ст.20 (ГОСТ 1050-2013)</v>
          </cell>
          <cell r="P55">
            <v>2</v>
          </cell>
          <cell r="Q55">
            <v>2</v>
          </cell>
          <cell r="R55" t="str">
            <v>ШТ</v>
          </cell>
          <cell r="U55">
            <v>45078</v>
          </cell>
          <cell r="V55">
            <v>45076</v>
          </cell>
        </row>
        <row r="56">
          <cell r="L56" t="str">
            <v>770001358959</v>
          </cell>
          <cell r="M56" t="str">
            <v>770001358959</v>
          </cell>
          <cell r="O56" t="str">
            <v>Переход ПЭ 108х6-57х4-12Х18Н10Т ТУ 1400-001-62226329-2012</v>
          </cell>
          <cell r="P56">
            <v>1</v>
          </cell>
          <cell r="R56" t="str">
            <v>ШТ</v>
          </cell>
          <cell r="U56">
            <v>45078</v>
          </cell>
          <cell r="V56">
            <v>45076</v>
          </cell>
        </row>
        <row r="57">
          <cell r="L57" t="str">
            <v>770000012977</v>
          </cell>
          <cell r="M57" t="str">
            <v>770000012977</v>
          </cell>
          <cell r="O57" t="str">
            <v>Переход П Э-108х8-57х5 ГОСТ 17378-2001</v>
          </cell>
          <cell r="P57">
            <v>1</v>
          </cell>
          <cell r="R57" t="str">
            <v>ШТ</v>
          </cell>
          <cell r="U57">
            <v>45078</v>
          </cell>
          <cell r="V57">
            <v>45076</v>
          </cell>
        </row>
        <row r="58">
          <cell r="L58" t="str">
            <v>770001359029</v>
          </cell>
          <cell r="M58" t="str">
            <v>770001359029</v>
          </cell>
          <cell r="O58" t="str">
            <v>Тройник бесшовный ТБ 108х6-12Х18Н10Т ТУ 1400-001-62226329-2012</v>
          </cell>
          <cell r="P58">
            <v>78</v>
          </cell>
          <cell r="R58" t="str">
            <v>ШТ</v>
          </cell>
          <cell r="U58">
            <v>45078</v>
          </cell>
          <cell r="V58">
            <v>45076</v>
          </cell>
        </row>
        <row r="59">
          <cell r="L59" t="str">
            <v>000001128690</v>
          </cell>
          <cell r="M59" t="str">
            <v>000001128690</v>
          </cell>
          <cell r="O59" t="str">
            <v>Тройник П 108х8 ГОСТ 17376-2001</v>
          </cell>
          <cell r="P59">
            <v>6</v>
          </cell>
          <cell r="R59" t="str">
            <v>ШТ</v>
          </cell>
          <cell r="U59">
            <v>45078</v>
          </cell>
          <cell r="V59">
            <v>45076</v>
          </cell>
        </row>
        <row r="60">
          <cell r="L60" t="str">
            <v>770000460639</v>
          </cell>
          <cell r="M60" t="str">
            <v>770000460639</v>
          </cell>
          <cell r="O60" t="str">
            <v>Заглушка фланцевая 2-25-4,0-12Х18Н9Т АТК 24.200.02-90</v>
          </cell>
          <cell r="P60">
            <v>39</v>
          </cell>
          <cell r="R60" t="str">
            <v>ШТ</v>
          </cell>
          <cell r="U60">
            <v>45078</v>
          </cell>
          <cell r="V60">
            <v>45076</v>
          </cell>
        </row>
        <row r="61">
          <cell r="L61" t="str">
            <v>770001359044</v>
          </cell>
          <cell r="M61" t="str">
            <v>770001359044</v>
          </cell>
          <cell r="O61" t="str">
            <v>Заглушка фланцевая 2-50-4-12Х18Н9Т АТК 24.200.02-90</v>
          </cell>
          <cell r="P61">
            <v>2</v>
          </cell>
          <cell r="R61" t="str">
            <v>ШТ</v>
          </cell>
          <cell r="U61">
            <v>45078</v>
          </cell>
          <cell r="V61">
            <v>45076</v>
          </cell>
        </row>
        <row r="62">
          <cell r="L62" t="str">
            <v>000001126651</v>
          </cell>
          <cell r="M62" t="str">
            <v>000001126651</v>
          </cell>
          <cell r="O62" t="str">
            <v>Заглушка фланцевая 2-25-4,0-20 АТК 24.200.02-90</v>
          </cell>
          <cell r="P62">
            <v>2</v>
          </cell>
          <cell r="R62" t="str">
            <v>ШТ</v>
          </cell>
          <cell r="U62">
            <v>45078</v>
          </cell>
          <cell r="V62">
            <v>45076</v>
          </cell>
        </row>
        <row r="63">
          <cell r="L63" t="str">
            <v>770001359060</v>
          </cell>
          <cell r="M63" t="str">
            <v>770001359060</v>
          </cell>
          <cell r="O63" t="str">
            <v>Заглушка фланцевая 2-50-4-20 АТК 24.200.02-90</v>
          </cell>
          <cell r="P63">
            <v>2</v>
          </cell>
          <cell r="R63" t="str">
            <v>ШТ</v>
          </cell>
          <cell r="U63">
            <v>45078</v>
          </cell>
          <cell r="V63">
            <v>45076</v>
          </cell>
        </row>
        <row r="64">
          <cell r="L64" t="str">
            <v>770001359199</v>
          </cell>
          <cell r="M64" t="str">
            <v>770001359199</v>
          </cell>
          <cell r="O64" t="str">
            <v>Заглушка ЗЭ 108х4-12Х18Н10Т ТУ 1400-001-62226329-2012</v>
          </cell>
          <cell r="P64">
            <v>1</v>
          </cell>
          <cell r="R64" t="str">
            <v>ШТ</v>
          </cell>
          <cell r="U64">
            <v>45078</v>
          </cell>
          <cell r="V64">
            <v>45076</v>
          </cell>
        </row>
        <row r="65">
          <cell r="L65" t="str">
            <v>770001359240</v>
          </cell>
          <cell r="M65" t="str">
            <v>770001359240</v>
          </cell>
          <cell r="O65" t="str">
            <v>Заглушка поворотная З.П.(II) 100-16 ст.12Х18Н10Т S=15мм, чертеж Т-ММ-25-2017-06-02</v>
          </cell>
          <cell r="P65">
            <v>5</v>
          </cell>
          <cell r="R65" t="str">
            <v>ШТ</v>
          </cell>
          <cell r="U65">
            <v>45078</v>
          </cell>
          <cell r="V65">
            <v>45076</v>
          </cell>
        </row>
        <row r="66">
          <cell r="L66" t="str">
            <v>770001359254</v>
          </cell>
          <cell r="M66" t="str">
            <v>770001359254</v>
          </cell>
          <cell r="O66" t="str">
            <v>Заглушка поворотная З.П.(II) 100-40 ст.12Х18Н10Т S=18мм, чертеж Т-ММ-25-2017-06-02</v>
          </cell>
          <cell r="P66">
            <v>15</v>
          </cell>
          <cell r="R66" t="str">
            <v>ШТ</v>
          </cell>
          <cell r="U66">
            <v>45078</v>
          </cell>
          <cell r="V66">
            <v>45076</v>
          </cell>
        </row>
        <row r="67">
          <cell r="L67" t="str">
            <v>770001359260</v>
          </cell>
          <cell r="M67" t="str">
            <v>770001359260</v>
          </cell>
          <cell r="O67" t="str">
            <v>Заглушка поворотная З.П.(I) 50-16 ст.20К S=12 мм, чертеж Т-ММ-25-2017-06-01</v>
          </cell>
          <cell r="P67">
            <v>2</v>
          </cell>
          <cell r="R67" t="str">
            <v>ШТ</v>
          </cell>
          <cell r="U67">
            <v>45078</v>
          </cell>
          <cell r="V67">
            <v>45076</v>
          </cell>
        </row>
        <row r="68">
          <cell r="L68" t="str">
            <v>770000461002</v>
          </cell>
          <cell r="M68" t="str">
            <v>770000461002</v>
          </cell>
          <cell r="O68" t="str">
            <v>Фланец стальной приварной встык 50-40-11-1-F-Ст 12Х18Н9Т-IV ГОСТ 33259-2015</v>
          </cell>
          <cell r="P68">
            <v>2</v>
          </cell>
          <cell r="R68" t="str">
            <v>ШТ</v>
          </cell>
          <cell r="U68">
            <v>45078</v>
          </cell>
          <cell r="V68">
            <v>45076</v>
          </cell>
        </row>
        <row r="69">
          <cell r="L69" t="str">
            <v>770000811488</v>
          </cell>
          <cell r="M69" t="str">
            <v>770000811488</v>
          </cell>
          <cell r="O69" t="str">
            <v>Фланец стальной приварной встык 25-25-11-1-F-Ст 20-IV ГОСТ 33259-2015</v>
          </cell>
          <cell r="P69">
            <v>4</v>
          </cell>
          <cell r="R69" t="str">
            <v>ШТ</v>
          </cell>
          <cell r="U69">
            <v>45078</v>
          </cell>
          <cell r="V69">
            <v>45076</v>
          </cell>
        </row>
        <row r="70">
          <cell r="L70" t="str">
            <v>770000514954</v>
          </cell>
          <cell r="M70" t="str">
            <v>770000514954</v>
          </cell>
          <cell r="O70" t="str">
            <v>Фланец стальной приварной встык 50-40-11-1-F-Ст 20-IV ГОСТ 33259-2015</v>
          </cell>
          <cell r="P70">
            <v>2</v>
          </cell>
          <cell r="R70" t="str">
            <v>ШТ</v>
          </cell>
          <cell r="U70">
            <v>45078</v>
          </cell>
          <cell r="V70">
            <v>45076</v>
          </cell>
        </row>
        <row r="71">
          <cell r="L71" t="str">
            <v>000001128483</v>
          </cell>
          <cell r="M71" t="str">
            <v>000001128483</v>
          </cell>
          <cell r="O71" t="str">
            <v>Тройник 108х6-57х6-09Г2С</v>
          </cell>
          <cell r="P71">
            <v>1</v>
          </cell>
          <cell r="R71" t="str">
            <v>ШТ</v>
          </cell>
          <cell r="U71">
            <v>45031</v>
          </cell>
          <cell r="V71">
            <v>45031</v>
          </cell>
        </row>
        <row r="72">
          <cell r="L72" t="str">
            <v>770001474280</v>
          </cell>
          <cell r="M72" t="str">
            <v>770001474280</v>
          </cell>
          <cell r="O72" t="str">
            <v>Клапан 25-40 КОФ</v>
          </cell>
          <cell r="P72">
            <v>7</v>
          </cell>
          <cell r="R72" t="str">
            <v>КТ</v>
          </cell>
          <cell r="U72">
            <v>45031</v>
          </cell>
          <cell r="V72">
            <v>45031</v>
          </cell>
        </row>
        <row r="73">
          <cell r="L73" t="str">
            <v>770001474281</v>
          </cell>
          <cell r="M73" t="str">
            <v>770001474281</v>
          </cell>
          <cell r="O73" t="str">
            <v>Клапан 32-40 КОФ</v>
          </cell>
          <cell r="P73">
            <v>3</v>
          </cell>
          <cell r="R73" t="str">
            <v>КТ</v>
          </cell>
          <cell r="U73">
            <v>45031</v>
          </cell>
          <cell r="V73">
            <v>45031</v>
          </cell>
        </row>
        <row r="74">
          <cell r="L74" t="str">
            <v>770000374680</v>
          </cell>
          <cell r="M74" t="str">
            <v>770000374680</v>
          </cell>
          <cell r="O74" t="str">
            <v>Переход К-76х6-57х6-09Г2С</v>
          </cell>
          <cell r="P74">
            <v>2</v>
          </cell>
          <cell r="R74" t="str">
            <v>ШТ</v>
          </cell>
          <cell r="U74">
            <v>45031</v>
          </cell>
          <cell r="V74">
            <v>45031</v>
          </cell>
        </row>
        <row r="75">
          <cell r="L75" t="str">
            <v>000001168831</v>
          </cell>
          <cell r="M75" t="str">
            <v>000001168831</v>
          </cell>
          <cell r="O75" t="str">
            <v>Переход П К-57х6-32х4-09Г2С</v>
          </cell>
          <cell r="P75">
            <v>2</v>
          </cell>
          <cell r="R75" t="str">
            <v>ШТ</v>
          </cell>
          <cell r="U75">
            <v>45031</v>
          </cell>
          <cell r="V75">
            <v>45031</v>
          </cell>
        </row>
        <row r="76">
          <cell r="L76" t="str">
            <v>770001472812</v>
          </cell>
          <cell r="M76" t="str">
            <v>770001472812</v>
          </cell>
          <cell r="O76" t="str">
            <v>Клапан 215F-100-E-01 Zetkama</v>
          </cell>
          <cell r="P76">
            <v>1</v>
          </cell>
          <cell r="R76" t="str">
            <v>КТ</v>
          </cell>
          <cell r="U76">
            <v>45031</v>
          </cell>
          <cell r="V76">
            <v>45031</v>
          </cell>
        </row>
        <row r="77">
          <cell r="L77" t="str">
            <v>770001472812</v>
          </cell>
          <cell r="M77" t="str">
            <v>770001472812</v>
          </cell>
          <cell r="O77" t="str">
            <v>Клапан 215F-100-E-01 Zetkama</v>
          </cell>
          <cell r="P77">
            <v>2</v>
          </cell>
          <cell r="R77" t="str">
            <v>КТ</v>
          </cell>
          <cell r="U77">
            <v>45031</v>
          </cell>
          <cell r="V77">
            <v>45031</v>
          </cell>
        </row>
        <row r="78">
          <cell r="L78" t="str">
            <v>770001476782</v>
          </cell>
          <cell r="M78" t="str">
            <v>770001476782</v>
          </cell>
          <cell r="O78" t="str">
            <v>Клапан регулирующий поз.FV-536</v>
          </cell>
          <cell r="P78">
            <v>1</v>
          </cell>
          <cell r="R78" t="str">
            <v>КТ</v>
          </cell>
          <cell r="U78">
            <v>45230</v>
          </cell>
          <cell r="V78">
            <v>45230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85" zoomScaleNormal="85" workbookViewId="0">
      <selection activeCell="A52" sqref="A52"/>
    </sheetView>
  </sheetViews>
  <sheetFormatPr defaultRowHeight="12.75" x14ac:dyDescent="0.2"/>
  <cols>
    <col min="1" max="1" width="26" bestFit="1" customWidth="1"/>
    <col min="2" max="2" width="99" customWidth="1"/>
    <col min="3" max="3" width="24" bestFit="1" customWidth="1"/>
    <col min="4" max="4" width="17" hidden="1" customWidth="1"/>
    <col min="5" max="5" width="14" hidden="1" customWidth="1"/>
    <col min="6" max="6" width="9" hidden="1" customWidth="1"/>
    <col min="7" max="7" width="14" bestFit="1" customWidth="1"/>
    <col min="8" max="8" width="42" bestFit="1" customWidth="1"/>
    <col min="9" max="9" width="9" bestFit="1" customWidth="1"/>
    <col min="10" max="10" width="13" bestFit="1" customWidth="1"/>
    <col min="11" max="11" width="31.7109375" bestFit="1" customWidth="1"/>
    <col min="12" max="12" width="13.140625" bestFit="1" customWidth="1"/>
  </cols>
  <sheetData>
    <row r="1" spans="1:13" ht="38.25" x14ac:dyDescent="0.2">
      <c r="A1" s="1" t="s">
        <v>154</v>
      </c>
      <c r="B1" s="10" t="s">
        <v>165</v>
      </c>
      <c r="C1" s="1" t="s">
        <v>155</v>
      </c>
      <c r="D1" s="1" t="s">
        <v>162</v>
      </c>
      <c r="E1" s="1" t="s">
        <v>156</v>
      </c>
      <c r="F1" s="1" t="s">
        <v>157</v>
      </c>
      <c r="G1" s="1" t="s">
        <v>158</v>
      </c>
      <c r="H1" s="1" t="s">
        <v>159</v>
      </c>
      <c r="I1" s="2" t="s">
        <v>160</v>
      </c>
      <c r="J1" s="1" t="s">
        <v>161</v>
      </c>
      <c r="K1" s="7" t="s">
        <v>163</v>
      </c>
      <c r="L1" s="1" t="s">
        <v>164</v>
      </c>
      <c r="M1" s="1" t="s">
        <v>166</v>
      </c>
    </row>
    <row r="2" spans="1:13" x14ac:dyDescent="0.2">
      <c r="A2" s="3" t="s">
        <v>0</v>
      </c>
      <c r="B2" s="12" t="s">
        <v>168</v>
      </c>
      <c r="C2" s="3" t="s">
        <v>1</v>
      </c>
      <c r="D2" s="3" t="s">
        <v>7</v>
      </c>
      <c r="E2" s="3" t="s">
        <v>2</v>
      </c>
      <c r="F2" s="3" t="s">
        <v>3</v>
      </c>
      <c r="G2" s="3" t="s">
        <v>4</v>
      </c>
      <c r="H2" s="3" t="s">
        <v>5</v>
      </c>
      <c r="I2" s="4">
        <v>1</v>
      </c>
      <c r="J2" s="5" t="s">
        <v>6</v>
      </c>
      <c r="K2" s="8">
        <f>VLOOKUP($G2,[1]FW92!$L$2:$V$78,11,0)</f>
        <v>45229</v>
      </c>
      <c r="L2" s="3"/>
      <c r="M2" s="3"/>
    </row>
    <row r="3" spans="1:13" x14ac:dyDescent="0.2">
      <c r="A3" s="3" t="s">
        <v>0</v>
      </c>
      <c r="B3" s="12" t="s">
        <v>168</v>
      </c>
      <c r="C3" s="3" t="s">
        <v>17</v>
      </c>
      <c r="D3" s="3" t="s">
        <v>55</v>
      </c>
      <c r="E3" s="3" t="s">
        <v>19</v>
      </c>
      <c r="F3" s="3" t="s">
        <v>52</v>
      </c>
      <c r="G3" s="3" t="s">
        <v>53</v>
      </c>
      <c r="H3" s="3" t="s">
        <v>54</v>
      </c>
      <c r="I3" s="4">
        <v>1</v>
      </c>
      <c r="J3" s="5" t="s">
        <v>6</v>
      </c>
      <c r="K3" s="8">
        <v>45290</v>
      </c>
      <c r="L3" s="3"/>
      <c r="M3" s="3"/>
    </row>
    <row r="4" spans="1:13" x14ac:dyDescent="0.2">
      <c r="A4" s="3" t="s">
        <v>0</v>
      </c>
      <c r="B4" s="12" t="s">
        <v>168</v>
      </c>
      <c r="C4" s="3" t="s">
        <v>17</v>
      </c>
      <c r="D4" s="3" t="s">
        <v>55</v>
      </c>
      <c r="E4" s="3" t="s">
        <v>19</v>
      </c>
      <c r="F4" s="3" t="s">
        <v>52</v>
      </c>
      <c r="G4" s="3" t="s">
        <v>56</v>
      </c>
      <c r="H4" s="3" t="s">
        <v>57</v>
      </c>
      <c r="I4" s="4">
        <v>1</v>
      </c>
      <c r="J4" s="5" t="s">
        <v>6</v>
      </c>
      <c r="K4" s="8">
        <v>45290</v>
      </c>
      <c r="L4" s="3"/>
      <c r="M4" s="3"/>
    </row>
    <row r="5" spans="1:13" x14ac:dyDescent="0.2">
      <c r="A5" s="3" t="s">
        <v>0</v>
      </c>
      <c r="B5" s="12" t="s">
        <v>168</v>
      </c>
      <c r="C5" s="3" t="s">
        <v>17</v>
      </c>
      <c r="D5" s="3" t="s">
        <v>55</v>
      </c>
      <c r="E5" s="3" t="s">
        <v>19</v>
      </c>
      <c r="F5" s="3" t="s">
        <v>52</v>
      </c>
      <c r="G5" s="3" t="s">
        <v>58</v>
      </c>
      <c r="H5" s="3" t="s">
        <v>59</v>
      </c>
      <c r="I5" s="4">
        <v>1</v>
      </c>
      <c r="J5" s="5" t="s">
        <v>6</v>
      </c>
      <c r="K5" s="8">
        <v>45290</v>
      </c>
      <c r="L5" s="3"/>
      <c r="M5" s="3"/>
    </row>
    <row r="6" spans="1:13" x14ac:dyDescent="0.2">
      <c r="A6" s="3" t="s">
        <v>0</v>
      </c>
      <c r="B6" s="12" t="s">
        <v>168</v>
      </c>
      <c r="C6" s="3" t="s">
        <v>17</v>
      </c>
      <c r="D6" s="3" t="s">
        <v>55</v>
      </c>
      <c r="E6" s="3" t="s">
        <v>19</v>
      </c>
      <c r="F6" s="3" t="s">
        <v>52</v>
      </c>
      <c r="G6" s="3" t="s">
        <v>60</v>
      </c>
      <c r="H6" s="3" t="s">
        <v>61</v>
      </c>
      <c r="I6" s="4">
        <v>1</v>
      </c>
      <c r="J6" s="5" t="s">
        <v>6</v>
      </c>
      <c r="K6" s="8">
        <v>45290</v>
      </c>
      <c r="L6" s="3"/>
      <c r="M6" s="3"/>
    </row>
    <row r="7" spans="1:13" x14ac:dyDescent="0.2">
      <c r="A7" s="3" t="s">
        <v>0</v>
      </c>
      <c r="B7" s="12" t="s">
        <v>168</v>
      </c>
      <c r="C7" s="3" t="s">
        <v>17</v>
      </c>
      <c r="D7" s="3" t="s">
        <v>55</v>
      </c>
      <c r="E7" s="3" t="s">
        <v>19</v>
      </c>
      <c r="F7" s="3" t="s">
        <v>52</v>
      </c>
      <c r="G7" s="3" t="s">
        <v>62</v>
      </c>
      <c r="H7" s="3" t="s">
        <v>63</v>
      </c>
      <c r="I7" s="4">
        <v>1</v>
      </c>
      <c r="J7" s="5" t="s">
        <v>6</v>
      </c>
      <c r="K7" s="8">
        <v>45290</v>
      </c>
      <c r="L7" s="3"/>
      <c r="M7" s="3"/>
    </row>
    <row r="8" spans="1:13" x14ac:dyDescent="0.2">
      <c r="A8" s="3" t="s">
        <v>0</v>
      </c>
      <c r="B8" s="12" t="s">
        <v>168</v>
      </c>
      <c r="C8" s="3" t="s">
        <v>17</v>
      </c>
      <c r="D8" s="3" t="s">
        <v>55</v>
      </c>
      <c r="E8" s="3" t="s">
        <v>19</v>
      </c>
      <c r="F8" s="3" t="s">
        <v>52</v>
      </c>
      <c r="G8" s="3" t="s">
        <v>64</v>
      </c>
      <c r="H8" s="3" t="s">
        <v>65</v>
      </c>
      <c r="I8" s="4">
        <v>1</v>
      </c>
      <c r="J8" s="5" t="s">
        <v>6</v>
      </c>
      <c r="K8" s="8">
        <v>45290</v>
      </c>
      <c r="L8" s="3"/>
      <c r="M8" s="3"/>
    </row>
    <row r="9" spans="1:13" x14ac:dyDescent="0.2">
      <c r="A9" s="3" t="s">
        <v>0</v>
      </c>
      <c r="B9" s="12" t="s">
        <v>168</v>
      </c>
      <c r="C9" s="3" t="s">
        <v>11</v>
      </c>
      <c r="D9" s="3" t="s">
        <v>16</v>
      </c>
      <c r="E9" s="3" t="s">
        <v>12</v>
      </c>
      <c r="F9" s="3" t="s">
        <v>13</v>
      </c>
      <c r="G9" s="3" t="s">
        <v>14</v>
      </c>
      <c r="H9" s="3" t="s">
        <v>15</v>
      </c>
      <c r="I9" s="4">
        <v>1</v>
      </c>
      <c r="J9" s="5" t="s">
        <v>6</v>
      </c>
      <c r="K9" s="8">
        <f>VLOOKUP($G9,[1]FW92!$L$2:$V$78,11,0)</f>
        <v>45170</v>
      </c>
      <c r="L9" s="3"/>
      <c r="M9" s="3"/>
    </row>
    <row r="10" spans="1:13" x14ac:dyDescent="0.2">
      <c r="A10" s="3" t="s">
        <v>0</v>
      </c>
      <c r="B10" s="12" t="s">
        <v>168</v>
      </c>
      <c r="C10" s="3" t="s">
        <v>17</v>
      </c>
      <c r="D10" s="3" t="s">
        <v>69</v>
      </c>
      <c r="E10" s="3" t="s">
        <v>18</v>
      </c>
      <c r="F10" s="3" t="s">
        <v>66</v>
      </c>
      <c r="G10" s="3" t="s">
        <v>67</v>
      </c>
      <c r="H10" s="3" t="s">
        <v>68</v>
      </c>
      <c r="I10" s="4">
        <v>1</v>
      </c>
      <c r="J10" s="5" t="s">
        <v>10</v>
      </c>
      <c r="K10" s="8">
        <f>VLOOKUP($G10,[1]FW92!$L$2:$V$78,11,0)</f>
        <v>45168</v>
      </c>
      <c r="L10" s="3"/>
      <c r="M10" s="3"/>
    </row>
    <row r="11" spans="1:13" x14ac:dyDescent="0.2">
      <c r="A11" s="3" t="s">
        <v>0</v>
      </c>
      <c r="B11" s="12" t="s">
        <v>168</v>
      </c>
      <c r="C11" s="3" t="s">
        <v>17</v>
      </c>
      <c r="D11" s="3" t="s">
        <v>69</v>
      </c>
      <c r="E11" s="3" t="s">
        <v>18</v>
      </c>
      <c r="F11" s="3" t="s">
        <v>66</v>
      </c>
      <c r="G11" s="3" t="s">
        <v>70</v>
      </c>
      <c r="H11" s="3" t="s">
        <v>71</v>
      </c>
      <c r="I11" s="4">
        <v>1</v>
      </c>
      <c r="J11" s="5" t="s">
        <v>10</v>
      </c>
      <c r="K11" s="8">
        <f>VLOOKUP($G11,[1]FW92!$L$2:$V$78,11,0)</f>
        <v>45168</v>
      </c>
      <c r="L11" s="3"/>
      <c r="M11" s="3"/>
    </row>
    <row r="12" spans="1:13" x14ac:dyDescent="0.2">
      <c r="A12" s="3" t="s">
        <v>0</v>
      </c>
      <c r="B12" s="12" t="s">
        <v>168</v>
      </c>
      <c r="C12" s="3" t="s">
        <v>17</v>
      </c>
      <c r="D12" s="3" t="s">
        <v>74</v>
      </c>
      <c r="E12" s="3" t="s">
        <v>18</v>
      </c>
      <c r="F12" s="3" t="s">
        <v>66</v>
      </c>
      <c r="G12" s="3" t="s">
        <v>72</v>
      </c>
      <c r="H12" s="3" t="s">
        <v>73</v>
      </c>
      <c r="I12" s="4">
        <v>6</v>
      </c>
      <c r="J12" s="5" t="s">
        <v>10</v>
      </c>
      <c r="K12" s="11">
        <f>VLOOKUP($G12,[1]FW92!$L$2:$V$78,11,0)</f>
        <v>45199</v>
      </c>
      <c r="L12" s="3"/>
      <c r="M12" s="9" t="s">
        <v>167</v>
      </c>
    </row>
    <row r="13" spans="1:13" x14ac:dyDescent="0.2">
      <c r="A13" s="3" t="s">
        <v>0</v>
      </c>
      <c r="B13" s="12" t="s">
        <v>168</v>
      </c>
      <c r="C13" s="3" t="s">
        <v>17</v>
      </c>
      <c r="D13" s="3" t="s">
        <v>74</v>
      </c>
      <c r="E13" s="3" t="s">
        <v>18</v>
      </c>
      <c r="F13" s="3" t="s">
        <v>66</v>
      </c>
      <c r="G13" s="3" t="s">
        <v>75</v>
      </c>
      <c r="H13" s="3" t="s">
        <v>73</v>
      </c>
      <c r="I13" s="4">
        <v>7</v>
      </c>
      <c r="J13" s="5" t="s">
        <v>10</v>
      </c>
      <c r="K13" s="11">
        <f>VLOOKUP($G13,[1]FW92!$L$2:$V$78,11,0)</f>
        <v>45199</v>
      </c>
      <c r="L13" s="3"/>
      <c r="M13" s="9" t="s">
        <v>167</v>
      </c>
    </row>
    <row r="14" spans="1:13" x14ac:dyDescent="0.2">
      <c r="A14" s="3" t="s">
        <v>0</v>
      </c>
      <c r="B14" s="12" t="s">
        <v>168</v>
      </c>
      <c r="C14" s="3" t="s">
        <v>17</v>
      </c>
      <c r="D14" s="3" t="s">
        <v>8</v>
      </c>
      <c r="E14" s="3" t="s">
        <v>19</v>
      </c>
      <c r="F14" s="3" t="s">
        <v>20</v>
      </c>
      <c r="G14" s="3" t="s">
        <v>21</v>
      </c>
      <c r="H14" s="3" t="s">
        <v>22</v>
      </c>
      <c r="I14" s="4">
        <v>1</v>
      </c>
      <c r="J14" s="5" t="s">
        <v>6</v>
      </c>
      <c r="K14" s="8">
        <v>45122</v>
      </c>
      <c r="L14" s="3"/>
      <c r="M14" s="3"/>
    </row>
    <row r="15" spans="1:13" x14ac:dyDescent="0.2">
      <c r="A15" s="3" t="s">
        <v>0</v>
      </c>
      <c r="B15" s="12" t="s">
        <v>168</v>
      </c>
      <c r="C15" s="3" t="s">
        <v>17</v>
      </c>
      <c r="D15" s="3" t="s">
        <v>8</v>
      </c>
      <c r="E15" s="3" t="s">
        <v>19</v>
      </c>
      <c r="F15" s="3" t="s">
        <v>20</v>
      </c>
      <c r="G15" s="3" t="s">
        <v>23</v>
      </c>
      <c r="H15" s="3" t="s">
        <v>24</v>
      </c>
      <c r="I15" s="4">
        <v>64</v>
      </c>
      <c r="J15" s="5" t="s">
        <v>6</v>
      </c>
      <c r="K15" s="8">
        <v>45122</v>
      </c>
      <c r="L15" s="3"/>
      <c r="M15" s="3"/>
    </row>
    <row r="16" spans="1:13" x14ac:dyDescent="0.2">
      <c r="A16" s="3" t="s">
        <v>0</v>
      </c>
      <c r="B16" s="12" t="s">
        <v>168</v>
      </c>
      <c r="C16" s="3" t="s">
        <v>17</v>
      </c>
      <c r="D16" s="3" t="s">
        <v>8</v>
      </c>
      <c r="E16" s="3" t="s">
        <v>19</v>
      </c>
      <c r="F16" s="3" t="s">
        <v>20</v>
      </c>
      <c r="G16" s="3" t="s">
        <v>25</v>
      </c>
      <c r="H16" s="3" t="s">
        <v>24</v>
      </c>
      <c r="I16" s="4">
        <v>15</v>
      </c>
      <c r="J16" s="5" t="s">
        <v>6</v>
      </c>
      <c r="K16" s="8">
        <v>45122</v>
      </c>
      <c r="L16" s="3"/>
      <c r="M16" s="3"/>
    </row>
    <row r="17" spans="1:13" x14ac:dyDescent="0.2">
      <c r="A17" s="3" t="s">
        <v>0</v>
      </c>
      <c r="B17" s="12" t="s">
        <v>168</v>
      </c>
      <c r="C17" s="3" t="s">
        <v>17</v>
      </c>
      <c r="D17" s="3" t="s">
        <v>8</v>
      </c>
      <c r="E17" s="3" t="s">
        <v>19</v>
      </c>
      <c r="F17" s="3" t="s">
        <v>20</v>
      </c>
      <c r="G17" s="3" t="s">
        <v>26</v>
      </c>
      <c r="H17" s="3" t="s">
        <v>27</v>
      </c>
      <c r="I17" s="4">
        <v>5</v>
      </c>
      <c r="J17" s="5" t="s">
        <v>6</v>
      </c>
      <c r="K17" s="8">
        <v>45122</v>
      </c>
      <c r="L17" s="3"/>
      <c r="M17" s="3"/>
    </row>
    <row r="18" spans="1:13" x14ac:dyDescent="0.2">
      <c r="A18" s="3" t="s">
        <v>0</v>
      </c>
      <c r="B18" s="12" t="s">
        <v>168</v>
      </c>
      <c r="C18" s="3" t="s">
        <v>17</v>
      </c>
      <c r="D18" s="3" t="s">
        <v>8</v>
      </c>
      <c r="E18" s="3" t="s">
        <v>19</v>
      </c>
      <c r="F18" s="3" t="s">
        <v>20</v>
      </c>
      <c r="G18" s="3" t="s">
        <v>28</v>
      </c>
      <c r="H18" s="3" t="s">
        <v>27</v>
      </c>
      <c r="I18" s="4">
        <v>5</v>
      </c>
      <c r="J18" s="5" t="s">
        <v>6</v>
      </c>
      <c r="K18" s="8">
        <v>45122</v>
      </c>
      <c r="L18" s="3"/>
      <c r="M18" s="3"/>
    </row>
    <row r="19" spans="1:13" x14ac:dyDescent="0.2">
      <c r="A19" s="3" t="s">
        <v>0</v>
      </c>
      <c r="B19" s="12" t="s">
        <v>168</v>
      </c>
      <c r="C19" s="3" t="s">
        <v>17</v>
      </c>
      <c r="D19" s="3" t="s">
        <v>8</v>
      </c>
      <c r="E19" s="3" t="s">
        <v>19</v>
      </c>
      <c r="F19" s="3" t="s">
        <v>20</v>
      </c>
      <c r="G19" s="3" t="s">
        <v>29</v>
      </c>
      <c r="H19" s="3" t="s">
        <v>30</v>
      </c>
      <c r="I19" s="4">
        <v>2</v>
      </c>
      <c r="J19" s="5" t="s">
        <v>6</v>
      </c>
      <c r="K19" s="8">
        <v>45122</v>
      </c>
      <c r="L19" s="3"/>
      <c r="M19" s="3"/>
    </row>
    <row r="20" spans="1:13" x14ac:dyDescent="0.2">
      <c r="A20" s="3" t="s">
        <v>0</v>
      </c>
      <c r="B20" s="12" t="s">
        <v>168</v>
      </c>
      <c r="C20" s="3" t="s">
        <v>17</v>
      </c>
      <c r="D20" s="3" t="s">
        <v>8</v>
      </c>
      <c r="E20" s="3" t="s">
        <v>19</v>
      </c>
      <c r="F20" s="3" t="s">
        <v>20</v>
      </c>
      <c r="G20" s="3" t="s">
        <v>31</v>
      </c>
      <c r="H20" s="3" t="s">
        <v>32</v>
      </c>
      <c r="I20" s="4">
        <v>1</v>
      </c>
      <c r="J20" s="5" t="s">
        <v>6</v>
      </c>
      <c r="K20" s="8">
        <v>45122</v>
      </c>
      <c r="L20" s="3"/>
      <c r="M20" s="3"/>
    </row>
    <row r="21" spans="1:13" x14ac:dyDescent="0.2">
      <c r="A21" s="3" t="s">
        <v>0</v>
      </c>
      <c r="B21" s="12" t="s">
        <v>168</v>
      </c>
      <c r="C21" s="3" t="s">
        <v>17</v>
      </c>
      <c r="D21" s="3" t="s">
        <v>8</v>
      </c>
      <c r="E21" s="3" t="s">
        <v>19</v>
      </c>
      <c r="F21" s="3" t="s">
        <v>20</v>
      </c>
      <c r="G21" s="3" t="s">
        <v>33</v>
      </c>
      <c r="H21" s="3" t="s">
        <v>34</v>
      </c>
      <c r="I21" s="4">
        <v>6</v>
      </c>
      <c r="J21" s="5" t="s">
        <v>6</v>
      </c>
      <c r="K21" s="8">
        <v>45122</v>
      </c>
      <c r="L21" s="3"/>
      <c r="M21" s="3"/>
    </row>
    <row r="22" spans="1:13" x14ac:dyDescent="0.2">
      <c r="A22" s="3" t="s">
        <v>0</v>
      </c>
      <c r="B22" s="12" t="s">
        <v>168</v>
      </c>
      <c r="C22" s="3" t="s">
        <v>17</v>
      </c>
      <c r="D22" s="3" t="s">
        <v>8</v>
      </c>
      <c r="E22" s="3" t="s">
        <v>19</v>
      </c>
      <c r="F22" s="3" t="s">
        <v>20</v>
      </c>
      <c r="G22" s="3" t="s">
        <v>35</v>
      </c>
      <c r="H22" s="3" t="s">
        <v>36</v>
      </c>
      <c r="I22" s="4">
        <v>1</v>
      </c>
      <c r="J22" s="5" t="s">
        <v>6</v>
      </c>
      <c r="K22" s="8">
        <v>45122</v>
      </c>
      <c r="L22" s="3"/>
      <c r="M22" s="3"/>
    </row>
    <row r="23" spans="1:13" x14ac:dyDescent="0.2">
      <c r="A23" s="3" t="s">
        <v>0</v>
      </c>
      <c r="B23" s="12" t="s">
        <v>168</v>
      </c>
      <c r="C23" s="3" t="s">
        <v>17</v>
      </c>
      <c r="D23" s="3" t="s">
        <v>51</v>
      </c>
      <c r="E23" s="3" t="s">
        <v>19</v>
      </c>
      <c r="F23" s="3" t="s">
        <v>20</v>
      </c>
      <c r="G23" s="3" t="s">
        <v>49</v>
      </c>
      <c r="H23" s="3" t="s">
        <v>50</v>
      </c>
      <c r="I23" s="4">
        <v>6</v>
      </c>
      <c r="J23" s="5" t="s">
        <v>10</v>
      </c>
      <c r="K23" s="8">
        <v>45122</v>
      </c>
      <c r="L23" s="3"/>
      <c r="M23" s="3"/>
    </row>
    <row r="24" spans="1:13" x14ac:dyDescent="0.2">
      <c r="A24" s="3" t="s">
        <v>0</v>
      </c>
      <c r="B24" s="12" t="s">
        <v>168</v>
      </c>
      <c r="C24" s="3" t="s">
        <v>17</v>
      </c>
      <c r="D24" s="3" t="s">
        <v>8</v>
      </c>
      <c r="E24" s="3" t="s">
        <v>19</v>
      </c>
      <c r="F24" s="3" t="s">
        <v>20</v>
      </c>
      <c r="G24" s="3" t="s">
        <v>37</v>
      </c>
      <c r="H24" s="3" t="s">
        <v>38</v>
      </c>
      <c r="I24" s="4">
        <v>10</v>
      </c>
      <c r="J24" s="5" t="s">
        <v>6</v>
      </c>
      <c r="K24" s="8">
        <v>45122</v>
      </c>
      <c r="L24" s="3"/>
      <c r="M24" s="3"/>
    </row>
    <row r="25" spans="1:13" x14ac:dyDescent="0.2">
      <c r="A25" s="3" t="s">
        <v>0</v>
      </c>
      <c r="B25" s="12" t="s">
        <v>168</v>
      </c>
      <c r="C25" s="3" t="s">
        <v>17</v>
      </c>
      <c r="D25" s="3" t="s">
        <v>8</v>
      </c>
      <c r="E25" s="3" t="s">
        <v>19</v>
      </c>
      <c r="F25" s="3" t="s">
        <v>20</v>
      </c>
      <c r="G25" s="3" t="s">
        <v>39</v>
      </c>
      <c r="H25" s="3" t="s">
        <v>40</v>
      </c>
      <c r="I25" s="4">
        <v>6</v>
      </c>
      <c r="J25" s="5" t="s">
        <v>6</v>
      </c>
      <c r="K25" s="8">
        <v>45122</v>
      </c>
      <c r="L25" s="3"/>
      <c r="M25" s="3"/>
    </row>
    <row r="26" spans="1:13" x14ac:dyDescent="0.2">
      <c r="A26" s="3" t="s">
        <v>0</v>
      </c>
      <c r="B26" s="12" t="s">
        <v>168</v>
      </c>
      <c r="C26" s="3" t="s">
        <v>17</v>
      </c>
      <c r="D26" s="3" t="s">
        <v>8</v>
      </c>
      <c r="E26" s="3" t="s">
        <v>19</v>
      </c>
      <c r="F26" s="3" t="s">
        <v>20</v>
      </c>
      <c r="G26" s="3" t="s">
        <v>41</v>
      </c>
      <c r="H26" s="3" t="s">
        <v>40</v>
      </c>
      <c r="I26" s="4">
        <v>23</v>
      </c>
      <c r="J26" s="5" t="s">
        <v>6</v>
      </c>
      <c r="K26" s="8">
        <v>45122</v>
      </c>
      <c r="L26" s="3"/>
      <c r="M26" s="3"/>
    </row>
    <row r="27" spans="1:13" x14ac:dyDescent="0.2">
      <c r="A27" s="3" t="s">
        <v>0</v>
      </c>
      <c r="B27" s="12" t="s">
        <v>168</v>
      </c>
      <c r="C27" s="3" t="s">
        <v>17</v>
      </c>
      <c r="D27" s="3" t="s">
        <v>8</v>
      </c>
      <c r="E27" s="3" t="s">
        <v>19</v>
      </c>
      <c r="F27" s="3" t="s">
        <v>20</v>
      </c>
      <c r="G27" s="3" t="s">
        <v>42</v>
      </c>
      <c r="H27" s="3" t="s">
        <v>43</v>
      </c>
      <c r="I27" s="4">
        <v>1</v>
      </c>
      <c r="J27" s="5" t="s">
        <v>6</v>
      </c>
      <c r="K27" s="8">
        <v>45122</v>
      </c>
      <c r="L27" s="3"/>
      <c r="M27" s="3"/>
    </row>
    <row r="28" spans="1:13" x14ac:dyDescent="0.2">
      <c r="A28" s="3" t="s">
        <v>0</v>
      </c>
      <c r="B28" s="12" t="s">
        <v>168</v>
      </c>
      <c r="C28" s="3" t="s">
        <v>17</v>
      </c>
      <c r="D28" s="3" t="s">
        <v>8</v>
      </c>
      <c r="E28" s="3" t="s">
        <v>19</v>
      </c>
      <c r="F28" s="3" t="s">
        <v>20</v>
      </c>
      <c r="G28" s="3" t="s">
        <v>44</v>
      </c>
      <c r="H28" s="3" t="s">
        <v>43</v>
      </c>
      <c r="I28" s="4">
        <v>1</v>
      </c>
      <c r="J28" s="5" t="s">
        <v>6</v>
      </c>
      <c r="K28" s="8">
        <v>45122</v>
      </c>
      <c r="L28" s="3"/>
      <c r="M28" s="3"/>
    </row>
    <row r="29" spans="1:13" x14ac:dyDescent="0.2">
      <c r="A29" s="3" t="s">
        <v>0</v>
      </c>
      <c r="B29" s="12" t="s">
        <v>168</v>
      </c>
      <c r="C29" s="3" t="s">
        <v>17</v>
      </c>
      <c r="D29" s="3" t="s">
        <v>8</v>
      </c>
      <c r="E29" s="3" t="s">
        <v>19</v>
      </c>
      <c r="F29" s="3" t="s">
        <v>20</v>
      </c>
      <c r="G29" s="3" t="s">
        <v>45</v>
      </c>
      <c r="H29" s="3" t="s">
        <v>46</v>
      </c>
      <c r="I29" s="4">
        <v>1</v>
      </c>
      <c r="J29" s="5" t="s">
        <v>6</v>
      </c>
      <c r="K29" s="8">
        <v>45122</v>
      </c>
      <c r="L29" s="3"/>
      <c r="M29" s="3"/>
    </row>
    <row r="30" spans="1:13" x14ac:dyDescent="0.2">
      <c r="A30" s="3" t="s">
        <v>0</v>
      </c>
      <c r="B30" s="12" t="s">
        <v>168</v>
      </c>
      <c r="C30" s="3" t="s">
        <v>17</v>
      </c>
      <c r="D30" s="3" t="s">
        <v>8</v>
      </c>
      <c r="E30" s="3" t="s">
        <v>19</v>
      </c>
      <c r="F30" s="3" t="s">
        <v>20</v>
      </c>
      <c r="G30" s="3" t="s">
        <v>47</v>
      </c>
      <c r="H30" s="3" t="s">
        <v>48</v>
      </c>
      <c r="I30" s="4">
        <v>2</v>
      </c>
      <c r="J30" s="5" t="s">
        <v>6</v>
      </c>
      <c r="K30" s="8">
        <v>45122</v>
      </c>
      <c r="L30" s="3"/>
      <c r="M30" s="3"/>
    </row>
    <row r="31" spans="1:13" x14ac:dyDescent="0.2">
      <c r="A31" s="3" t="s">
        <v>0</v>
      </c>
      <c r="B31" s="12" t="s">
        <v>168</v>
      </c>
      <c r="C31" s="3" t="s">
        <v>17</v>
      </c>
      <c r="D31" s="3" t="s">
        <v>8</v>
      </c>
      <c r="E31" s="3" t="s">
        <v>76</v>
      </c>
      <c r="F31" s="3" t="s">
        <v>77</v>
      </c>
      <c r="G31" s="3" t="s">
        <v>78</v>
      </c>
      <c r="H31" s="3" t="s">
        <v>79</v>
      </c>
      <c r="I31" s="6">
        <v>312.10000000000002</v>
      </c>
      <c r="J31" s="5" t="s">
        <v>80</v>
      </c>
      <c r="K31" s="8">
        <f>VLOOKUP($G31,[1]FW92!$L$2:$V$78,11,0)</f>
        <v>45076</v>
      </c>
      <c r="L31" s="3"/>
      <c r="M31" s="3"/>
    </row>
    <row r="32" spans="1:13" x14ac:dyDescent="0.2">
      <c r="A32" s="3" t="s">
        <v>0</v>
      </c>
      <c r="B32" s="12" t="s">
        <v>168</v>
      </c>
      <c r="C32" s="3" t="s">
        <v>17</v>
      </c>
      <c r="D32" s="3" t="s">
        <v>8</v>
      </c>
      <c r="E32" s="3" t="s">
        <v>76</v>
      </c>
      <c r="F32" s="3" t="s">
        <v>77</v>
      </c>
      <c r="G32" s="3" t="s">
        <v>81</v>
      </c>
      <c r="H32" s="3" t="s">
        <v>82</v>
      </c>
      <c r="I32" s="4">
        <v>19</v>
      </c>
      <c r="J32" s="5" t="s">
        <v>80</v>
      </c>
      <c r="K32" s="8">
        <f>VLOOKUP($G32,[1]FW92!$L$2:$V$78,11,0)</f>
        <v>45076</v>
      </c>
      <c r="L32" s="3"/>
      <c r="M32" s="3"/>
    </row>
    <row r="33" spans="1:13" x14ac:dyDescent="0.2">
      <c r="A33" s="3" t="s">
        <v>0</v>
      </c>
      <c r="B33" s="12" t="s">
        <v>168</v>
      </c>
      <c r="C33" s="3" t="s">
        <v>17</v>
      </c>
      <c r="D33" s="3" t="s">
        <v>8</v>
      </c>
      <c r="E33" s="3" t="s">
        <v>76</v>
      </c>
      <c r="F33" s="3" t="s">
        <v>77</v>
      </c>
      <c r="G33" s="3" t="s">
        <v>83</v>
      </c>
      <c r="H33" s="3" t="s">
        <v>84</v>
      </c>
      <c r="I33" s="4">
        <v>31</v>
      </c>
      <c r="J33" s="5" t="s">
        <v>80</v>
      </c>
      <c r="K33" s="8">
        <f>VLOOKUP($G33,[1]FW92!$L$2:$V$78,11,0)</f>
        <v>45076</v>
      </c>
      <c r="L33" s="3"/>
      <c r="M33" s="3"/>
    </row>
    <row r="34" spans="1:13" x14ac:dyDescent="0.2">
      <c r="A34" s="3" t="s">
        <v>0</v>
      </c>
      <c r="B34" s="12" t="s">
        <v>168</v>
      </c>
      <c r="C34" s="3" t="s">
        <v>17</v>
      </c>
      <c r="D34" s="3" t="s">
        <v>8</v>
      </c>
      <c r="E34" s="3" t="s">
        <v>76</v>
      </c>
      <c r="F34" s="3" t="s">
        <v>77</v>
      </c>
      <c r="G34" s="3" t="s">
        <v>85</v>
      </c>
      <c r="H34" s="3" t="s">
        <v>86</v>
      </c>
      <c r="I34" s="6">
        <v>16.3</v>
      </c>
      <c r="J34" s="5" t="s">
        <v>80</v>
      </c>
      <c r="K34" s="8">
        <f>VLOOKUP($G34,[1]FW92!$L$2:$V$78,11,0)</f>
        <v>45076</v>
      </c>
      <c r="L34" s="3"/>
      <c r="M34" s="3"/>
    </row>
    <row r="35" spans="1:13" x14ac:dyDescent="0.2">
      <c r="A35" s="3" t="s">
        <v>0</v>
      </c>
      <c r="B35" s="12" t="s">
        <v>168</v>
      </c>
      <c r="C35" s="3" t="s">
        <v>87</v>
      </c>
      <c r="D35" s="3" t="s">
        <v>8</v>
      </c>
      <c r="E35" s="3" t="s">
        <v>76</v>
      </c>
      <c r="F35" s="3" t="s">
        <v>77</v>
      </c>
      <c r="G35" s="3" t="s">
        <v>88</v>
      </c>
      <c r="H35" s="3" t="s">
        <v>89</v>
      </c>
      <c r="I35" s="4">
        <v>9</v>
      </c>
      <c r="J35" s="5" t="s">
        <v>80</v>
      </c>
      <c r="K35" s="8">
        <f>VLOOKUP($G35,[1]FW92!$L$2:$V$78,11,0)</f>
        <v>45076</v>
      </c>
      <c r="L35" s="3"/>
      <c r="M35" s="3"/>
    </row>
    <row r="36" spans="1:13" x14ac:dyDescent="0.2">
      <c r="A36" s="3" t="s">
        <v>0</v>
      </c>
      <c r="B36" s="12" t="s">
        <v>168</v>
      </c>
      <c r="C36" s="3" t="s">
        <v>87</v>
      </c>
      <c r="D36" s="3" t="s">
        <v>8</v>
      </c>
      <c r="E36" s="3" t="s">
        <v>90</v>
      </c>
      <c r="F36" s="3" t="s">
        <v>9</v>
      </c>
      <c r="G36" s="3" t="s">
        <v>91</v>
      </c>
      <c r="H36" s="3" t="s">
        <v>92</v>
      </c>
      <c r="I36" s="4">
        <v>1</v>
      </c>
      <c r="J36" s="5" t="s">
        <v>10</v>
      </c>
      <c r="K36" s="8">
        <f>VLOOKUP($G36,[1]FW92!$L$2:$V$78,11,0)</f>
        <v>45076</v>
      </c>
      <c r="L36" s="3"/>
      <c r="M36" s="3"/>
    </row>
    <row r="37" spans="1:13" x14ac:dyDescent="0.2">
      <c r="A37" s="3" t="s">
        <v>0</v>
      </c>
      <c r="B37" s="12" t="s">
        <v>168</v>
      </c>
      <c r="C37" s="3" t="s">
        <v>87</v>
      </c>
      <c r="D37" s="3" t="s">
        <v>8</v>
      </c>
      <c r="E37" s="3" t="s">
        <v>90</v>
      </c>
      <c r="F37" s="3" t="s">
        <v>9</v>
      </c>
      <c r="G37" s="3" t="s">
        <v>93</v>
      </c>
      <c r="H37" s="3" t="s">
        <v>94</v>
      </c>
      <c r="I37" s="4">
        <v>2</v>
      </c>
      <c r="J37" s="5" t="s">
        <v>10</v>
      </c>
      <c r="K37" s="8">
        <f>VLOOKUP($G37,[1]FW92!$L$2:$V$78,11,0)</f>
        <v>45076</v>
      </c>
      <c r="L37" s="3"/>
      <c r="M37" s="3"/>
    </row>
    <row r="38" spans="1:13" x14ac:dyDescent="0.2">
      <c r="A38" s="3" t="s">
        <v>0</v>
      </c>
      <c r="B38" s="12" t="s">
        <v>168</v>
      </c>
      <c r="C38" s="3" t="s">
        <v>87</v>
      </c>
      <c r="D38" s="3" t="s">
        <v>8</v>
      </c>
      <c r="E38" s="3" t="s">
        <v>90</v>
      </c>
      <c r="F38" s="3" t="s">
        <v>9</v>
      </c>
      <c r="G38" s="3" t="s">
        <v>95</v>
      </c>
      <c r="H38" s="3" t="s">
        <v>96</v>
      </c>
      <c r="I38" s="4">
        <v>5</v>
      </c>
      <c r="J38" s="5" t="s">
        <v>10</v>
      </c>
      <c r="K38" s="8">
        <f>VLOOKUP($G38,[1]FW92!$L$2:$V$78,11,0)</f>
        <v>45076</v>
      </c>
      <c r="L38" s="3"/>
      <c r="M38" s="3"/>
    </row>
    <row r="39" spans="1:13" x14ac:dyDescent="0.2">
      <c r="A39" s="3" t="s">
        <v>0</v>
      </c>
      <c r="B39" s="12" t="s">
        <v>168</v>
      </c>
      <c r="C39" s="3" t="s">
        <v>87</v>
      </c>
      <c r="D39" s="3" t="s">
        <v>8</v>
      </c>
      <c r="E39" s="3" t="s">
        <v>90</v>
      </c>
      <c r="F39" s="3" t="s">
        <v>9</v>
      </c>
      <c r="G39" s="3" t="s">
        <v>97</v>
      </c>
      <c r="H39" s="3" t="s">
        <v>98</v>
      </c>
      <c r="I39" s="4">
        <v>15</v>
      </c>
      <c r="J39" s="5" t="s">
        <v>10</v>
      </c>
      <c r="K39" s="8">
        <f>VLOOKUP($G39,[1]FW92!$L$2:$V$78,11,0)</f>
        <v>45076</v>
      </c>
      <c r="L39" s="3"/>
      <c r="M39" s="3"/>
    </row>
    <row r="40" spans="1:13" x14ac:dyDescent="0.2">
      <c r="A40" s="3" t="s">
        <v>0</v>
      </c>
      <c r="B40" s="12" t="s">
        <v>168</v>
      </c>
      <c r="C40" s="3" t="s">
        <v>87</v>
      </c>
      <c r="D40" s="3" t="s">
        <v>8</v>
      </c>
      <c r="E40" s="3" t="s">
        <v>90</v>
      </c>
      <c r="F40" s="3" t="s">
        <v>9</v>
      </c>
      <c r="G40" s="3" t="s">
        <v>99</v>
      </c>
      <c r="H40" s="3" t="s">
        <v>100</v>
      </c>
      <c r="I40" s="4">
        <v>39</v>
      </c>
      <c r="J40" s="5" t="s">
        <v>10</v>
      </c>
      <c r="K40" s="8">
        <f>VLOOKUP($G40,[1]FW92!$L$2:$V$78,11,0)</f>
        <v>45076</v>
      </c>
      <c r="L40" s="3"/>
      <c r="M40" s="3"/>
    </row>
    <row r="41" spans="1:13" x14ac:dyDescent="0.2">
      <c r="A41" s="3" t="s">
        <v>0</v>
      </c>
      <c r="B41" s="12" t="s">
        <v>168</v>
      </c>
      <c r="C41" s="3" t="s">
        <v>87</v>
      </c>
      <c r="D41" s="3" t="s">
        <v>8</v>
      </c>
      <c r="E41" s="3" t="s">
        <v>90</v>
      </c>
      <c r="F41" s="3" t="s">
        <v>9</v>
      </c>
      <c r="G41" s="3" t="s">
        <v>101</v>
      </c>
      <c r="H41" s="3" t="s">
        <v>102</v>
      </c>
      <c r="I41" s="4">
        <v>2</v>
      </c>
      <c r="J41" s="5" t="s">
        <v>10</v>
      </c>
      <c r="K41" s="8">
        <f>VLOOKUP($G41,[1]FW92!$L$2:$V$78,11,0)</f>
        <v>45076</v>
      </c>
      <c r="L41" s="3"/>
      <c r="M41" s="3"/>
    </row>
    <row r="42" spans="1:13" x14ac:dyDescent="0.2">
      <c r="A42" s="3" t="s">
        <v>0</v>
      </c>
      <c r="B42" s="12" t="s">
        <v>168</v>
      </c>
      <c r="C42" s="3" t="s">
        <v>87</v>
      </c>
      <c r="D42" s="3" t="s">
        <v>8</v>
      </c>
      <c r="E42" s="3" t="s">
        <v>90</v>
      </c>
      <c r="F42" s="3" t="s">
        <v>9</v>
      </c>
      <c r="G42" s="3" t="s">
        <v>103</v>
      </c>
      <c r="H42" s="3" t="s">
        <v>104</v>
      </c>
      <c r="I42" s="4">
        <v>2</v>
      </c>
      <c r="J42" s="5" t="s">
        <v>10</v>
      </c>
      <c r="K42" s="8">
        <f>VLOOKUP($G42,[1]FW92!$L$2:$V$78,11,0)</f>
        <v>45076</v>
      </c>
      <c r="L42" s="3"/>
      <c r="M42" s="3"/>
    </row>
    <row r="43" spans="1:13" x14ac:dyDescent="0.2">
      <c r="A43" s="3" t="s">
        <v>0</v>
      </c>
      <c r="B43" s="12" t="s">
        <v>168</v>
      </c>
      <c r="C43" s="3" t="s">
        <v>87</v>
      </c>
      <c r="D43" s="3" t="s">
        <v>8</v>
      </c>
      <c r="E43" s="3" t="s">
        <v>90</v>
      </c>
      <c r="F43" s="3" t="s">
        <v>9</v>
      </c>
      <c r="G43" s="3" t="s">
        <v>105</v>
      </c>
      <c r="H43" s="3" t="s">
        <v>106</v>
      </c>
      <c r="I43" s="4">
        <v>2</v>
      </c>
      <c r="J43" s="5" t="s">
        <v>10</v>
      </c>
      <c r="K43" s="8">
        <f>VLOOKUP($G43,[1]FW92!$L$2:$V$78,11,0)</f>
        <v>45076</v>
      </c>
      <c r="L43" s="3"/>
      <c r="M43" s="3"/>
    </row>
    <row r="44" spans="1:13" x14ac:dyDescent="0.2">
      <c r="A44" s="3" t="s">
        <v>0</v>
      </c>
      <c r="B44" s="12" t="s">
        <v>168</v>
      </c>
      <c r="C44" s="3" t="s">
        <v>87</v>
      </c>
      <c r="D44" s="3" t="s">
        <v>8</v>
      </c>
      <c r="E44" s="3" t="s">
        <v>90</v>
      </c>
      <c r="F44" s="3" t="s">
        <v>9</v>
      </c>
      <c r="G44" s="3" t="s">
        <v>107</v>
      </c>
      <c r="H44" s="3" t="s">
        <v>108</v>
      </c>
      <c r="I44" s="4">
        <v>185</v>
      </c>
      <c r="J44" s="5" t="s">
        <v>10</v>
      </c>
      <c r="K44" s="8">
        <f>VLOOKUP($G44,[1]FW92!$L$2:$V$78,11,0)</f>
        <v>45076</v>
      </c>
      <c r="L44" s="3"/>
      <c r="M44" s="3"/>
    </row>
    <row r="45" spans="1:13" x14ac:dyDescent="0.2">
      <c r="A45" s="3" t="s">
        <v>0</v>
      </c>
      <c r="B45" s="12" t="s">
        <v>168</v>
      </c>
      <c r="C45" s="3" t="s">
        <v>87</v>
      </c>
      <c r="D45" s="3" t="s">
        <v>8</v>
      </c>
      <c r="E45" s="3" t="s">
        <v>90</v>
      </c>
      <c r="F45" s="3" t="s">
        <v>9</v>
      </c>
      <c r="G45" s="3" t="s">
        <v>109</v>
      </c>
      <c r="H45" s="3" t="s">
        <v>110</v>
      </c>
      <c r="I45" s="4">
        <v>29</v>
      </c>
      <c r="J45" s="5" t="s">
        <v>10</v>
      </c>
      <c r="K45" s="8">
        <f>VLOOKUP($G45,[1]FW92!$L$2:$V$78,11,0)</f>
        <v>45076</v>
      </c>
      <c r="L45" s="3"/>
      <c r="M45" s="3"/>
    </row>
    <row r="46" spans="1:13" x14ac:dyDescent="0.2">
      <c r="A46" s="3" t="s">
        <v>0</v>
      </c>
      <c r="B46" s="12" t="s">
        <v>168</v>
      </c>
      <c r="C46" s="3" t="s">
        <v>87</v>
      </c>
      <c r="D46" s="3" t="s">
        <v>8</v>
      </c>
      <c r="E46" s="3" t="s">
        <v>90</v>
      </c>
      <c r="F46" s="3" t="s">
        <v>9</v>
      </c>
      <c r="G46" s="3" t="s">
        <v>111</v>
      </c>
      <c r="H46" s="3" t="s">
        <v>112</v>
      </c>
      <c r="I46" s="4">
        <v>1</v>
      </c>
      <c r="J46" s="5" t="s">
        <v>10</v>
      </c>
      <c r="K46" s="8">
        <f>VLOOKUP($G46,[1]FW92!$L$2:$V$78,11,0)</f>
        <v>45076</v>
      </c>
      <c r="L46" s="3"/>
      <c r="M46" s="3"/>
    </row>
    <row r="47" spans="1:13" x14ac:dyDescent="0.2">
      <c r="A47" s="3" t="s">
        <v>0</v>
      </c>
      <c r="B47" s="12" t="s">
        <v>168</v>
      </c>
      <c r="C47" s="3" t="s">
        <v>87</v>
      </c>
      <c r="D47" s="3" t="s">
        <v>8</v>
      </c>
      <c r="E47" s="3" t="s">
        <v>90</v>
      </c>
      <c r="F47" s="3" t="s">
        <v>9</v>
      </c>
      <c r="G47" s="3" t="s">
        <v>113</v>
      </c>
      <c r="H47" s="3" t="s">
        <v>114</v>
      </c>
      <c r="I47" s="4">
        <v>11</v>
      </c>
      <c r="J47" s="5" t="s">
        <v>10</v>
      </c>
      <c r="K47" s="8">
        <f>VLOOKUP($G47,[1]FW92!$L$2:$V$78,11,0)</f>
        <v>45076</v>
      </c>
      <c r="L47" s="3"/>
      <c r="M47" s="3"/>
    </row>
    <row r="48" spans="1:13" x14ac:dyDescent="0.2">
      <c r="A48" s="3" t="s">
        <v>0</v>
      </c>
      <c r="B48" s="12" t="s">
        <v>168</v>
      </c>
      <c r="C48" s="3" t="s">
        <v>87</v>
      </c>
      <c r="D48" s="3" t="s">
        <v>8</v>
      </c>
      <c r="E48" s="3" t="s">
        <v>90</v>
      </c>
      <c r="F48" s="3" t="s">
        <v>9</v>
      </c>
      <c r="G48" s="3" t="s">
        <v>115</v>
      </c>
      <c r="H48" s="3" t="s">
        <v>116</v>
      </c>
      <c r="I48" s="4">
        <v>8</v>
      </c>
      <c r="J48" s="5" t="s">
        <v>10</v>
      </c>
      <c r="K48" s="8">
        <f>VLOOKUP($G48,[1]FW92!$L$2:$V$78,11,0)</f>
        <v>45076</v>
      </c>
      <c r="L48" s="3"/>
      <c r="M48" s="3"/>
    </row>
    <row r="49" spans="1:13" x14ac:dyDescent="0.2">
      <c r="A49" s="3" t="s">
        <v>0</v>
      </c>
      <c r="B49" s="12" t="s">
        <v>168</v>
      </c>
      <c r="C49" s="3" t="s">
        <v>87</v>
      </c>
      <c r="D49" s="3" t="s">
        <v>8</v>
      </c>
      <c r="E49" s="3" t="s">
        <v>90</v>
      </c>
      <c r="F49" s="3" t="s">
        <v>9</v>
      </c>
      <c r="G49" s="3" t="s">
        <v>117</v>
      </c>
      <c r="H49" s="3" t="s">
        <v>118</v>
      </c>
      <c r="I49" s="4">
        <v>9</v>
      </c>
      <c r="J49" s="5" t="s">
        <v>10</v>
      </c>
      <c r="K49" s="8">
        <f>VLOOKUP($G49,[1]FW92!$L$2:$V$78,11,0)</f>
        <v>45076</v>
      </c>
      <c r="L49" s="3"/>
      <c r="M49" s="3"/>
    </row>
    <row r="50" spans="1:13" x14ac:dyDescent="0.2">
      <c r="A50" s="3" t="s">
        <v>0</v>
      </c>
      <c r="B50" s="12" t="s">
        <v>168</v>
      </c>
      <c r="C50" s="3" t="s">
        <v>147</v>
      </c>
      <c r="D50" s="3" t="s">
        <v>8</v>
      </c>
      <c r="E50" s="3" t="s">
        <v>90</v>
      </c>
      <c r="F50" s="3" t="s">
        <v>9</v>
      </c>
      <c r="G50" s="3" t="s">
        <v>148</v>
      </c>
      <c r="H50" s="3" t="s">
        <v>149</v>
      </c>
      <c r="I50" s="4">
        <v>3</v>
      </c>
      <c r="J50" s="5" t="s">
        <v>10</v>
      </c>
      <c r="K50" s="8">
        <f>VLOOKUP($G50,[1]FW92!$L$2:$V$78,11,0)</f>
        <v>45076</v>
      </c>
      <c r="L50" s="3"/>
      <c r="M50" s="3"/>
    </row>
    <row r="51" spans="1:13" x14ac:dyDescent="0.2">
      <c r="A51" s="3" t="s">
        <v>0</v>
      </c>
      <c r="B51" s="12" t="s">
        <v>168</v>
      </c>
      <c r="C51" s="3" t="s">
        <v>87</v>
      </c>
      <c r="D51" s="3" t="s">
        <v>8</v>
      </c>
      <c r="E51" s="3" t="s">
        <v>90</v>
      </c>
      <c r="F51" s="3" t="s">
        <v>9</v>
      </c>
      <c r="G51" s="3" t="s">
        <v>119</v>
      </c>
      <c r="H51" s="3" t="s">
        <v>120</v>
      </c>
      <c r="I51" s="4">
        <v>1</v>
      </c>
      <c r="J51" s="5" t="s">
        <v>10</v>
      </c>
      <c r="K51" s="8">
        <f>VLOOKUP($G51,[1]FW92!$L$2:$V$78,11,0)</f>
        <v>45076</v>
      </c>
      <c r="L51" s="3"/>
      <c r="M51" s="3"/>
    </row>
    <row r="52" spans="1:13" x14ac:dyDescent="0.2">
      <c r="A52" s="3" t="s">
        <v>0</v>
      </c>
      <c r="B52" s="12" t="s">
        <v>168</v>
      </c>
      <c r="C52" s="3" t="s">
        <v>87</v>
      </c>
      <c r="D52" s="3" t="s">
        <v>8</v>
      </c>
      <c r="E52" s="3" t="s">
        <v>90</v>
      </c>
      <c r="F52" s="3" t="s">
        <v>9</v>
      </c>
      <c r="G52" s="3" t="s">
        <v>121</v>
      </c>
      <c r="H52" s="3" t="s">
        <v>122</v>
      </c>
      <c r="I52" s="4">
        <v>1</v>
      </c>
      <c r="J52" s="5" t="s">
        <v>10</v>
      </c>
      <c r="K52" s="8">
        <f>VLOOKUP($G52,[1]FW92!$L$2:$V$78,11,0)</f>
        <v>45076</v>
      </c>
      <c r="L52" s="3"/>
      <c r="M52" s="3"/>
    </row>
    <row r="53" spans="1:13" x14ac:dyDescent="0.2">
      <c r="A53" s="3" t="s">
        <v>0</v>
      </c>
      <c r="B53" s="12" t="s">
        <v>168</v>
      </c>
      <c r="C53" s="3" t="s">
        <v>87</v>
      </c>
      <c r="D53" s="3" t="s">
        <v>8</v>
      </c>
      <c r="E53" s="3" t="s">
        <v>90</v>
      </c>
      <c r="F53" s="3" t="s">
        <v>9</v>
      </c>
      <c r="G53" s="3" t="s">
        <v>123</v>
      </c>
      <c r="H53" s="3" t="s">
        <v>124</v>
      </c>
      <c r="I53" s="4">
        <v>2</v>
      </c>
      <c r="J53" s="5" t="s">
        <v>10</v>
      </c>
      <c r="K53" s="8">
        <f>VLOOKUP($G53,[1]FW92!$L$2:$V$78,11,0)</f>
        <v>45076</v>
      </c>
      <c r="L53" s="3"/>
      <c r="M53" s="3"/>
    </row>
    <row r="54" spans="1:13" x14ac:dyDescent="0.2">
      <c r="A54" s="3" t="s">
        <v>0</v>
      </c>
      <c r="B54" s="12" t="s">
        <v>168</v>
      </c>
      <c r="C54" s="3" t="s">
        <v>87</v>
      </c>
      <c r="D54" s="3" t="s">
        <v>8</v>
      </c>
      <c r="E54" s="3" t="s">
        <v>90</v>
      </c>
      <c r="F54" s="3" t="s">
        <v>9</v>
      </c>
      <c r="G54" s="3" t="s">
        <v>125</v>
      </c>
      <c r="H54" s="3" t="s">
        <v>126</v>
      </c>
      <c r="I54" s="4">
        <v>1</v>
      </c>
      <c r="J54" s="5" t="s">
        <v>10</v>
      </c>
      <c r="K54" s="8">
        <f>VLOOKUP($G54,[1]FW92!$L$2:$V$78,11,0)</f>
        <v>45076</v>
      </c>
      <c r="L54" s="3"/>
      <c r="M54" s="3"/>
    </row>
    <row r="55" spans="1:13" x14ac:dyDescent="0.2">
      <c r="A55" s="3" t="s">
        <v>0</v>
      </c>
      <c r="B55" s="12" t="s">
        <v>168</v>
      </c>
      <c r="C55" s="3" t="s">
        <v>147</v>
      </c>
      <c r="D55" s="3" t="s">
        <v>8</v>
      </c>
      <c r="E55" s="3" t="s">
        <v>90</v>
      </c>
      <c r="F55" s="3" t="s">
        <v>9</v>
      </c>
      <c r="G55" s="3" t="s">
        <v>150</v>
      </c>
      <c r="H55" s="3" t="s">
        <v>151</v>
      </c>
      <c r="I55" s="4">
        <v>1</v>
      </c>
      <c r="J55" s="5" t="s">
        <v>10</v>
      </c>
      <c r="K55" s="8">
        <f>VLOOKUP($G55,[1]FW92!$L$2:$V$78,11,0)</f>
        <v>45076</v>
      </c>
      <c r="L55" s="3"/>
      <c r="M55" s="3"/>
    </row>
    <row r="56" spans="1:13" x14ac:dyDescent="0.2">
      <c r="A56" s="3" t="s">
        <v>0</v>
      </c>
      <c r="B56" s="12" t="s">
        <v>168</v>
      </c>
      <c r="C56" s="3" t="s">
        <v>147</v>
      </c>
      <c r="D56" s="3" t="s">
        <v>8</v>
      </c>
      <c r="E56" s="3" t="s">
        <v>90</v>
      </c>
      <c r="F56" s="3" t="s">
        <v>9</v>
      </c>
      <c r="G56" s="3" t="s">
        <v>152</v>
      </c>
      <c r="H56" s="3" t="s">
        <v>153</v>
      </c>
      <c r="I56" s="4">
        <v>2</v>
      </c>
      <c r="J56" s="5" t="s">
        <v>10</v>
      </c>
      <c r="K56" s="8">
        <f>VLOOKUP($G56,[1]FW92!$L$2:$V$78,11,0)</f>
        <v>45076</v>
      </c>
      <c r="L56" s="3"/>
      <c r="M56" s="3"/>
    </row>
    <row r="57" spans="1:13" x14ac:dyDescent="0.2">
      <c r="A57" s="3" t="s">
        <v>0</v>
      </c>
      <c r="B57" s="12" t="s">
        <v>168</v>
      </c>
      <c r="C57" s="3" t="s">
        <v>87</v>
      </c>
      <c r="D57" s="3" t="s">
        <v>8</v>
      </c>
      <c r="E57" s="3" t="s">
        <v>90</v>
      </c>
      <c r="F57" s="3" t="s">
        <v>9</v>
      </c>
      <c r="G57" s="3" t="s">
        <v>127</v>
      </c>
      <c r="H57" s="3" t="s">
        <v>128</v>
      </c>
      <c r="I57" s="4">
        <v>78</v>
      </c>
      <c r="J57" s="5" t="s">
        <v>10</v>
      </c>
      <c r="K57" s="8">
        <f>VLOOKUP($G57,[1]FW92!$L$2:$V$78,11,0)</f>
        <v>45076</v>
      </c>
      <c r="L57" s="3"/>
      <c r="M57" s="3"/>
    </row>
    <row r="58" spans="1:13" x14ac:dyDescent="0.2">
      <c r="A58" s="3" t="s">
        <v>0</v>
      </c>
      <c r="B58" s="12" t="s">
        <v>168</v>
      </c>
      <c r="C58" s="3" t="s">
        <v>87</v>
      </c>
      <c r="D58" s="3" t="s">
        <v>8</v>
      </c>
      <c r="E58" s="3" t="s">
        <v>90</v>
      </c>
      <c r="F58" s="3" t="s">
        <v>9</v>
      </c>
      <c r="G58" s="3" t="s">
        <v>129</v>
      </c>
      <c r="H58" s="3" t="s">
        <v>130</v>
      </c>
      <c r="I58" s="4">
        <v>6</v>
      </c>
      <c r="J58" s="5" t="s">
        <v>10</v>
      </c>
      <c r="K58" s="8">
        <f>VLOOKUP($G58,[1]FW92!$L$2:$V$78,11,0)</f>
        <v>45076</v>
      </c>
      <c r="L58" s="3"/>
      <c r="M58" s="3"/>
    </row>
    <row r="59" spans="1:13" x14ac:dyDescent="0.2">
      <c r="A59" s="3" t="s">
        <v>0</v>
      </c>
      <c r="B59" s="12" t="s">
        <v>168</v>
      </c>
      <c r="C59" s="3" t="s">
        <v>87</v>
      </c>
      <c r="D59" s="3" t="s">
        <v>8</v>
      </c>
      <c r="E59" s="3" t="s">
        <v>90</v>
      </c>
      <c r="F59" s="3" t="s">
        <v>9</v>
      </c>
      <c r="G59" s="3" t="s">
        <v>131</v>
      </c>
      <c r="H59" s="3" t="s">
        <v>132</v>
      </c>
      <c r="I59" s="4">
        <v>4</v>
      </c>
      <c r="J59" s="5" t="s">
        <v>10</v>
      </c>
      <c r="K59" s="8">
        <f>VLOOKUP($G59,[1]FW92!$L$2:$V$78,11,0)</f>
        <v>45076</v>
      </c>
      <c r="L59" s="3"/>
      <c r="M59" s="3"/>
    </row>
    <row r="60" spans="1:13" x14ac:dyDescent="0.2">
      <c r="A60" s="3" t="s">
        <v>0</v>
      </c>
      <c r="B60" s="12" t="s">
        <v>168</v>
      </c>
      <c r="C60" s="3" t="s">
        <v>87</v>
      </c>
      <c r="D60" s="3" t="s">
        <v>8</v>
      </c>
      <c r="E60" s="3" t="s">
        <v>90</v>
      </c>
      <c r="F60" s="3" t="s">
        <v>9</v>
      </c>
      <c r="G60" s="3" t="s">
        <v>133</v>
      </c>
      <c r="H60" s="3" t="s">
        <v>134</v>
      </c>
      <c r="I60" s="4">
        <v>2</v>
      </c>
      <c r="J60" s="5" t="s">
        <v>10</v>
      </c>
      <c r="K60" s="8">
        <f>VLOOKUP($G60,[1]FW92!$L$2:$V$78,11,0)</f>
        <v>45076</v>
      </c>
      <c r="L60" s="3"/>
      <c r="M60" s="3"/>
    </row>
    <row r="61" spans="1:13" x14ac:dyDescent="0.2">
      <c r="A61" s="3" t="s">
        <v>0</v>
      </c>
      <c r="B61" s="12" t="s">
        <v>168</v>
      </c>
      <c r="C61" s="3" t="s">
        <v>87</v>
      </c>
      <c r="D61" s="3" t="s">
        <v>8</v>
      </c>
      <c r="E61" s="3" t="s">
        <v>90</v>
      </c>
      <c r="F61" s="3" t="s">
        <v>9</v>
      </c>
      <c r="G61" s="3" t="s">
        <v>135</v>
      </c>
      <c r="H61" s="3" t="s">
        <v>136</v>
      </c>
      <c r="I61" s="4">
        <v>2</v>
      </c>
      <c r="J61" s="5" t="s">
        <v>10</v>
      </c>
      <c r="K61" s="8">
        <f>VLOOKUP($G61,[1]FW92!$L$2:$V$78,11,0)</f>
        <v>45076</v>
      </c>
      <c r="L61" s="3"/>
      <c r="M61" s="3"/>
    </row>
    <row r="62" spans="1:13" x14ac:dyDescent="0.2">
      <c r="A62" s="3" t="s">
        <v>0</v>
      </c>
      <c r="B62" s="12" t="s">
        <v>168</v>
      </c>
      <c r="C62" s="3" t="s">
        <v>137</v>
      </c>
      <c r="D62" s="3" t="s">
        <v>142</v>
      </c>
      <c r="E62" s="3" t="s">
        <v>138</v>
      </c>
      <c r="F62" s="3" t="s">
        <v>13</v>
      </c>
      <c r="G62" s="3" t="s">
        <v>139</v>
      </c>
      <c r="H62" s="3" t="s">
        <v>140</v>
      </c>
      <c r="I62" s="6">
        <v>0.17100000000000001</v>
      </c>
      <c r="J62" s="5" t="s">
        <v>141</v>
      </c>
      <c r="K62" s="8">
        <f>VLOOKUP($G62,[1]FW92!$L$2:$V$78,11,0)</f>
        <v>45076</v>
      </c>
      <c r="L62" s="3"/>
      <c r="M62" s="3"/>
    </row>
    <row r="63" spans="1:13" x14ac:dyDescent="0.2">
      <c r="A63" s="3" t="s">
        <v>0</v>
      </c>
      <c r="B63" s="12" t="s">
        <v>168</v>
      </c>
      <c r="C63" s="3" t="s">
        <v>137</v>
      </c>
      <c r="D63" s="3" t="s">
        <v>142</v>
      </c>
      <c r="E63" s="3" t="s">
        <v>138</v>
      </c>
      <c r="F63" s="3" t="s">
        <v>13</v>
      </c>
      <c r="G63" s="3" t="s">
        <v>143</v>
      </c>
      <c r="H63" s="3" t="s">
        <v>144</v>
      </c>
      <c r="I63" s="6">
        <v>0.82</v>
      </c>
      <c r="J63" s="5" t="s">
        <v>141</v>
      </c>
      <c r="K63" s="8">
        <f>VLOOKUP($G63,[1]FW92!$L$2:$V$78,11,0)</f>
        <v>45076</v>
      </c>
      <c r="L63" s="3"/>
      <c r="M63" s="3"/>
    </row>
    <row r="64" spans="1:13" x14ac:dyDescent="0.2">
      <c r="A64" s="3" t="s">
        <v>0</v>
      </c>
      <c r="B64" s="12" t="s">
        <v>168</v>
      </c>
      <c r="C64" s="3" t="s">
        <v>137</v>
      </c>
      <c r="D64" s="3" t="s">
        <v>142</v>
      </c>
      <c r="E64" s="3" t="s">
        <v>138</v>
      </c>
      <c r="F64" s="3" t="s">
        <v>13</v>
      </c>
      <c r="G64" s="3" t="s">
        <v>145</v>
      </c>
      <c r="H64" s="3" t="s">
        <v>146</v>
      </c>
      <c r="I64" s="6">
        <v>8.2000000000000003E-2</v>
      </c>
      <c r="J64" s="5" t="s">
        <v>141</v>
      </c>
      <c r="K64" s="8">
        <f>VLOOKUP($G64,[1]FW92!$L$2:$V$78,11,0)</f>
        <v>45076</v>
      </c>
      <c r="L64" s="3"/>
      <c r="M64" s="3"/>
    </row>
  </sheetData>
  <phoneticPr fontId="0" type="noConversion"/>
  <pageMargins left="0.75" right="0.75" top="1" bottom="1" header="0.5" footer="0.5"/>
  <pageSetup paperSize="8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Седов Андрей Николаевич</cp:lastModifiedBy>
  <cp:revision>1</cp:revision>
  <cp:lastPrinted>2023-03-20T15:13:20Z</cp:lastPrinted>
  <dcterms:created xsi:type="dcterms:W3CDTF">2023-02-21T14:25:21Z</dcterms:created>
  <dcterms:modified xsi:type="dcterms:W3CDTF">2023-03-20T15:25:57Z</dcterms:modified>
  <cp:category/>
</cp:coreProperties>
</file>